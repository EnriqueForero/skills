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_INICIO" sheetId="1" state="visible" r:id="rId3"/>
    <sheet name="02_METODOLOGIA" sheetId="2" state="visible" r:id="rId4"/>
    <sheet name="03_PERFIL" sheetId="3" state="visible" r:id="rId5"/>
    <sheet name="04_INGRESOS" sheetId="4" state="visible" r:id="rId6"/>
    <sheet name="05_BENEFICIOS" sheetId="5" state="visible" r:id="rId7"/>
    <sheet name="06_DEPENDIENTES" sheetId="6" state="visible" r:id="rId8"/>
    <sheet name="07_PATRIMONIO" sheetId="7" state="visible" r:id="rId9"/>
    <sheet name="08_HISTORICO" sheetId="8" state="visible" r:id="rId10"/>
    <sheet name="09_FORMULARIO_210" sheetId="9" state="visible" r:id="rId11"/>
    <sheet name="10_MOTOR_EXACTO" sheetId="10" state="visible" r:id="rId12"/>
    <sheet name="11_LIMITE_40" sheetId="11" state="visible" r:id="rId13"/>
    <sheet name="12_CONTROLES" sheetId="12" state="visible" r:id="rId14"/>
    <sheet name="13_QA" sheetId="13" state="visible" r:id="rId15"/>
    <sheet name="14_SOPORTES" sheetId="14" state="visible" r:id="rId16"/>
    <sheet name="15_EXOGENA" sheetId="15" state="visible" r:id="rId17"/>
    <sheet name="16_PARAMETROS" sheetId="16" state="visible" r:id="rId18"/>
    <sheet name="17_DECISIONES" sheetId="17" state="visible" r:id="rId19"/>
    <sheet name="18_GLOSARIO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<sst xmlns="http://schemas.openxmlformats.org/spreadsheetml/2006/main" count="2166" uniqueCount="1171">
  <si>
    <t xml:space="preserve">DECLARACIÓN DE RENTA · AÑO GRAVABLE 2025 · FORMULARIO 210</t>
  </si>
  <si>
    <t xml:space="preserve">MARÍA EJEMPLO PÉREZ (DATOS FICTICIOS) · NIT 52.999.999-0 · PLANTILLA DE EJEMPLO — todos los valores son FICTICIOS</t>
  </si>
  <si>
    <t xml:space="preserve">Fecha límite</t>
  </si>
  <si>
    <t xml:space="preserve">Días de margen:</t>
  </si>
  <si>
    <t xml:space="preserve">DICTAMEN:</t>
  </si>
  <si>
    <t xml:space="preserve">SU DECLARACIÓN EN OCHO CIFRAS (vivas: cambian si usted edita)</t>
  </si>
  <si>
    <t xml:space="preserve">Ingresos brutos totales</t>
  </si>
  <si>
    <t xml:space="preserve">Renta líquida gravable (c.111)</t>
  </si>
  <si>
    <t xml:space="preserve">IMPUESTO A CARGO (c.129)</t>
  </si>
  <si>
    <t xml:space="preserve">Retenciones + saldos previos</t>
  </si>
  <si>
    <t xml:space="preserve">Patrimonio bruto (c.29)</t>
  </si>
  <si>
    <t xml:space="preserve">Patrimonio líquido (c.31)</t>
  </si>
  <si>
    <t xml:space="preserve">Variación patrimonio líquido vs 2024</t>
  </si>
  <si>
    <t xml:space="preserve">Anticipo 2026 (c.133)</t>
  </si>
  <si>
    <t xml:space="preserve">PLANTILLA DE EJEMPLO (datos ficticios). En un caso real, este recuadro resume los pendientes específicos del declarante: ámbar por reemplazar, decisiones abiertas y soportes faltantes. El detalle vivo siempre está en 12_CONTROLES.</t>
  </si>
  <si>
    <t xml:space="preserve">RUTA DE TRABAJO — 7 PASOS (haga clic para ir a cada hoja)</t>
  </si>
  <si>
    <t xml:space="preserve">PASO 1 — Verifique identidad, años declarando y saldos 2024.</t>
  </si>
  <si>
    <t xml:space="preserve">PASO 2 — Revise cada ingreso fila por fila; reemplace todo ámbar con su certificado.</t>
  </si>
  <si>
    <t xml:space="preserve">PASO 3 — Active solo beneficios con soporte; reemplace los ámbar.</t>
  </si>
  <si>
    <t xml:space="preserve">PASO 4 — Dependientes con soporte (el archivo valida la regla laboral).</t>
  </si>
  <si>
    <t xml:space="preserve">PASO 5 — Confirme activos y deudas contra extractos; mire la columna de variación.</t>
  </si>
  <si>
    <t xml:space="preserve">PASO 6 — Lea el resultado casilla por casilla (10_MOTOR_EXACTO para trazar al peso).</t>
  </si>
  <si>
    <t xml:space="preserve">PASO 7 — Cierre pendientes hasta que el dictamen quede LISTO; luego MUISCA.</t>
  </si>
  <si>
    <t xml:space="preserve">MAPA COMPLETO DE HOJAS</t>
  </si>
  <si>
    <t xml:space="preserve">Cómo funciona el archivo, colores, verificación y marco legal — LÉALA PRIMERO</t>
  </si>
  <si>
    <t xml:space="preserve">De dónde viene cada cifra: AG2023 → AG2024 → AG2025 conectado en vivo</t>
  </si>
  <si>
    <t xml:space="preserve">La misma cadena sin redondeo a miles (trazabilidad al peso)</t>
  </si>
  <si>
    <t xml:space="preserve">El techo del 40%/1.340 UVT paso a paso — por qué más certificados no siempre bajan el impuesto</t>
  </si>
  <si>
    <t xml:space="preserve">Pruebas embebidas de la tarifa + registro de la auditoría Python</t>
  </si>
  <si>
    <t xml:space="preserve">La carpeta documental: qué falta y para qué sirve cada papel</t>
  </si>
  <si>
    <t xml:space="preserve">Copia de lo que los terceros reportaron a la DIAN</t>
  </si>
  <si>
    <t xml:space="preserve">UVT, topes, tablas y plazos con su norma — el único lugar que cambia cada año</t>
  </si>
  <si>
    <t xml:space="preserve">Qué cambió en v4 y con qué evidencia</t>
  </si>
  <si>
    <t xml:space="preserve">Cada término en palabras simples y en precisión técnica</t>
  </si>
  <si>
    <t xml:space="preserve">CONVENCIONES</t>
  </si>
  <si>
    <t xml:space="preserve">VERDE = entrada suya</t>
  </si>
  <si>
    <t xml:space="preserve">ÁMBAR = ESTIMADO a reemplazar</t>
  </si>
  <si>
    <t xml:space="preserve">AZUL = fórmula</t>
  </si>
  <si>
    <t xml:space="preserve">NARANJA = advertencia</t>
  </si>
  <si>
    <t xml:space="preserve">ROJO = bloqueo</t>
  </si>
  <si>
    <t xml:space="preserve">ADVERTENCIA LEGAL: hoja de trabajo, no dictamen. La coincidencia matemática Excel↔Python NO certifica hechos económicos ni soportes. Responsabilidad del declarante: arts. 571, 596, 647-648 E.T. Valores del formulario aproximados al múltiplo de mil (art. 577).</t>
  </si>
  <si>
    <t xml:space="preserve">METODOLOGÍA — CÓMO FUNCIONA ESTE ARCHIVO Y CÓMO CONFIAR EN ÉL</t>
  </si>
  <si>
    <t xml:space="preserve">1. QUÉ ES ESTO</t>
  </si>
  <si>
    <t xml:space="preserve">Un solo archivo que: (a) recoge sus datos en 5 hojas de entrada, (b) calcula las 114 casillas del Formulario 210 con las reglas del Estatuto Tributario, (c) se vigila a sí mismo con controles y pruebas embebidas, y (d) queda auditado por un programa Python independiente que rehace TODO el cálculo desde cero y exige coincidencia del 100%. Usted solo edita celdas VERDES y reemplaza las ÁMBAR.</t>
  </si>
  <si>
    <t xml:space="preserve">2. EL FLUJO EN 7 PASOS (el orden de las hojas ES el orden de trabajo)</t>
  </si>
  <si>
    <t xml:space="preserve">PASO 1 · 03_PERFIL: quién declara y los saldos del año pasado.  PASO 2 · 04_INGRESOS: cada peso que recibió, una fila por tercero.  PASO 3 · 05_BENEFICIOS: lo que la ley le permite restar (con su regla y su tope automático).  PASO 4 · 06_DEPENDIENTES: quiénes dependen de usted.  PASO 5 · 07_PATRIMONIO: lo que tiene y lo que debe a 31/12, comparado con 2024.  PASO 6 · 09_FORMULARIO_210: el resultado casilla por casilla (no se toca: se lee y se transcribe).  PASO 7 · 12_CONTROLES: el dictamen — solo presente cuando esté en verde.</t>
  </si>
  <si>
    <t xml:space="preserve">3. CONVENCIONES DE COLOR (las mismas en todo el archivo)</t>
  </si>
  <si>
    <t xml:space="preserve">VERDE — celda de ENTRADA: usted la edita.</t>
  </si>
  <si>
    <t xml:space="preserve">ÁMBAR — valor ESTIMADO con la mejor evidencia disponible: DEBE reemplazarlo con el certificado del año.</t>
  </si>
  <si>
    <t xml:space="preserve">AZUL NEGRILLA — FÓRMULA: no la toque; se recalcula sola.</t>
  </si>
  <si>
    <t xml:space="preserve">NARANJA — advertencia que pide una acción suya.</t>
  </si>
  <si>
    <t xml:space="preserve">ROJO — bloqueo: no presente sin resolverlo.</t>
  </si>
  <si>
    <t xml:space="preserve">4. CÓMO CALCULA (dos motores en paralelo)</t>
  </si>
  <si>
    <t xml:space="preserve">09_FORMULARIO_210 aplica el redondeo LEGAL al múltiplo de mil (art. 577 E.T.) en cada casilla — es lo que se transcribe al MUISCA. 10_MOTOR_EXACTO ejecuta la MISMA cadena sin redondear: ahí se ve el efecto de cada peso. La tarifa del art. 241 usa la convención oficial del AyudaRenta de la DIAN: base en UVT truncada a 2 decimales, épsilon 1E-9 contra errores de coma flotante, resultado a miles.</t>
  </si>
  <si>
    <t xml:space="preserve">5. CÓMO SE VERIFICA (tres candados independientes)</t>
  </si>
  <si>
    <t xml:space="preserve">CANDADO 1 — Controles vivos (12_CONTROLES): residencia, plazos, coherencia patrimonial (arts. 236-239), cruces contra exógena, exclusión mutua de saldos. Producen un DICTAMEN automático. CANDADO 2 — Pruebas embebidas (13_QA): 23 casos de frontera de la tarifa del art. 241 calculados de forma independiente en Python quedan DENTRO del archivo comparándose en vivo contra las fórmulas del libro. CANDADO 3 — Auditor externo: un notebook Python reconstruye el caso leyendo SOLO las celdas de entrada, recalcula las 114 casillas con aritmética Decimal exacta, exige paridad 100% en ~230 comparaciones, corre 15 escenarios de estrés, una prueba de mutación (corrompe el archivo a propósito y verifica que la auditoría LO DETECTE) y una prueba de sensibilidad al peso.</t>
  </si>
  <si>
    <t xml:space="preserve">6. JERARQUÍA DE EVIDENCIA (qué manda cuando las fuentes pelean)</t>
  </si>
  <si>
    <t xml:space="preserve">1.º Instructivo oficial del Formulario 210 (Res. 000044/2024) · 2.º AyudaRenta oficial DIAN · 3.º Certificados de terceros · 4.º Declaraciones presentadas de años anteriores · 5.º Exógena · 6.º Estimaciones (SIEMPRE en ámbar). Regla de estados: 'Confirmado' = dos fuentes coinciden o hay certificado; 'Provisional' = una fuente confiable sin certificado; 'ESTIMADO' = inferencia documentada que usted debe reemplazar; 'Falta/Pendiente' = no se declara sin soporte (art. 786: la carga de la prueba es suya).</t>
  </si>
  <si>
    <t xml:space="preserve">7. QUÉ HACER SI CAMBIA UN VALOR</t>
  </si>
  <si>
    <t xml:space="preserve">Edite la celda verde/ámbar → el libro recalcula solo → revise 12_CONTROLES (el dictamen cambia) → vuelva a correr el notebook auditor → registre fecha y resultado en 13_QA → recién entonces transcriba al MUISCA. Si un control queda en rojo, NO presente.</t>
  </si>
  <si>
    <t xml:space="preserve">8. MARCO NORMATIVO ESENCIAL</t>
  </si>
  <si>
    <t xml:space="preserve">Depuración cedular: arts. 26, 330-343 · Rentas de trabajo: arts. 103, 206 · INCRNGO: arts. 55-56 · Capital: arts. 335, 38-41 (componente inflacionario, Dcto. 898/2026) · Beneficios: arts. 119, 126-1, 126-4, 387 · Límite conjunto: art. 336 · Tarifas: arts. 241, 314, 317 · Patrimonio: arts. 261-283 · Comparación patrimonial: arts. 236-239 · Anticipo: art. 807 · Redondeo: art. 577 · Sanciones: arts. 639-648 · Firmeza: arts. 714, 689-3 · Plazos: Dcto. 2229/2023.</t>
  </si>
  <si>
    <t xml:space="preserve">9. LO QUE ESTE ARCHIVO NO ES</t>
  </si>
  <si>
    <t xml:space="preserve">No es un dictamen profesional ni asesoría legal: es una hoja de trabajo rigurosa. La coincidencia matemática Excel↔Python certifica el CÁLCULO, no los hechos económicos ni los soportes. La responsabilidad de lo declarado es del declarante (arts. 571, 596, 647-648 E.T.).</t>
  </si>
  <si>
    <t xml:space="preserve">PASO 1 · PERFIL DEL DECLARANTE — MARÍA EJEMPLO PÉREZ (DATOS FICTICIOS)</t>
  </si>
  <si>
    <t xml:space="preserve">Complete solo celdas verdes. La identidad se valida contra el RUT, no contra este borrador.</t>
  </si>
  <si>
    <t xml:space="preserve">Campo</t>
  </si>
  <si>
    <t xml:space="preserve">Valor</t>
  </si>
  <si>
    <t xml:space="preserve">Estado</t>
  </si>
  <si>
    <t xml:space="preserve">Fuente</t>
  </si>
  <si>
    <t xml:space="preserve">Explicación</t>
  </si>
  <si>
    <t xml:space="preserve">Año gravable</t>
  </si>
  <si>
    <t xml:space="preserve">CONFIRMADO</t>
  </si>
  <si>
    <t xml:space="preserve">Documentos del caso</t>
  </si>
  <si>
    <t xml:space="preserve">Ingresos y patrimonio a 31/12/2025</t>
  </si>
  <si>
    <t xml:space="preserve">Año de presentación</t>
  </si>
  <si>
    <t xml:space="preserve">Calendario DIAN</t>
  </si>
  <si>
    <t xml:space="preserve">Formulario</t>
  </si>
  <si>
    <t xml:space="preserve">Res. DIAN 000044/2024</t>
  </si>
  <si>
    <t xml:space="preserve">Persona natural residente</t>
  </si>
  <si>
    <t xml:space="preserve">Número de identificación (sin DV)</t>
  </si>
  <si>
    <t xml:space="preserve">RUT (ficticio)</t>
  </si>
  <si>
    <t xml:space="preserve">NIT de ejemplo</t>
  </si>
  <si>
    <t xml:space="preserve">Últimos dos dígitos del NIT</t>
  </si>
  <si>
    <t xml:space="preserve">CALCULADO</t>
  </si>
  <si>
    <t xml:space="preserve">—</t>
  </si>
  <si>
    <t xml:space="preserve">Sin dígito de verificación</t>
  </si>
  <si>
    <t xml:space="preserve">Fecha límite de presentación y pago</t>
  </si>
  <si>
    <t xml:space="preserve">Dcto. 2229/2023</t>
  </si>
  <si>
    <t xml:space="preserve">Según los dos últimos dígitos</t>
  </si>
  <si>
    <t xml:space="preserve">Primer apellido</t>
  </si>
  <si>
    <t xml:space="preserve">EJEMPLO</t>
  </si>
  <si>
    <t xml:space="preserve">Verifique contra el RUT</t>
  </si>
  <si>
    <t xml:space="preserve">Segundo apellido</t>
  </si>
  <si>
    <t xml:space="preserve">PÉREZ</t>
  </si>
  <si>
    <t xml:space="preserve">Primer nombre y otros nombres</t>
  </si>
  <si>
    <t xml:space="preserve">MARÍA</t>
  </si>
  <si>
    <t xml:space="preserve">Código dirección seccional (casilla 12)</t>
  </si>
  <si>
    <t xml:space="preserve">32</t>
  </si>
  <si>
    <t xml:space="preserve">RUT</t>
  </si>
  <si>
    <t xml:space="preserve">32 = Impuestos de Bogotá</t>
  </si>
  <si>
    <t xml:space="preserve">Actividad económica principal (casilla 24)</t>
  </si>
  <si>
    <t xml:space="preserve">0010</t>
  </si>
  <si>
    <t xml:space="preserve">0010 = asalariado</t>
  </si>
  <si>
    <t xml:space="preserve">Residente fiscal en Colombia</t>
  </si>
  <si>
    <t xml:space="preserve">Sí</t>
  </si>
  <si>
    <t xml:space="preserve">Art. 10 E.T.</t>
  </si>
  <si>
    <t xml:space="preserve">Si es No, este archivo no aplica (Formulario 110)</t>
  </si>
  <si>
    <t xml:space="preserve">¿Obligado a llevar contabilidad?</t>
  </si>
  <si>
    <t xml:space="preserve">No</t>
  </si>
  <si>
    <t xml:space="preserve">Su situación</t>
  </si>
  <si>
    <t xml:space="preserve">Si es Sí: derive a contador (cambia todo el régimen)</t>
  </si>
  <si>
    <t xml:space="preserve">Años declarando, incluido este</t>
  </si>
  <si>
    <t xml:space="preserve">Historial</t>
  </si>
  <si>
    <t xml:space="preserve">1=25% · 2=50% · 3 o más=75% de anticipo (art. 807)</t>
  </si>
  <si>
    <t xml:space="preserve">Impuesto neto de renta del año anterior (casilla 126)</t>
  </si>
  <si>
    <t xml:space="preserve">Declaración anterior</t>
  </si>
  <si>
    <t xml:space="preserve">Para anticipo promedio</t>
  </si>
  <si>
    <t xml:space="preserve">Saldo a favor año anterior sin devolución (casilla 137)</t>
  </si>
  <si>
    <t xml:space="preserve">Va a casilla 131</t>
  </si>
  <si>
    <t xml:space="preserve">Anticipo liquidado el año pasado (casilla 133)</t>
  </si>
  <si>
    <t xml:space="preserve">Va a casilla 130</t>
  </si>
  <si>
    <t xml:space="preserve">Patrimonio bruto del año anterior (control)</t>
  </si>
  <si>
    <t xml:space="preserve">Control interanual</t>
  </si>
  <si>
    <t xml:space="preserve">Deudas del año anterior (control)</t>
  </si>
  <si>
    <t xml:space="preserve">Patrimonio líquido del año anterior (control)</t>
  </si>
  <si>
    <t xml:space="preserve">Fecha prevista de presentación</t>
  </si>
  <si>
    <t xml:space="preserve">EDITABLE</t>
  </si>
  <si>
    <t xml:space="preserve">Su plan</t>
  </si>
  <si>
    <t xml:space="preserve">Debe ser ≤ fecha límite; deje margen</t>
  </si>
  <si>
    <t xml:space="preserve">¿Responsable de IVA a 31/12?</t>
  </si>
  <si>
    <t xml:space="preserve">¿Activos en el exterior &gt; 2.000 UVT?</t>
  </si>
  <si>
    <t xml:space="preserve">Exigiría Formulario 160 — derive a contador</t>
  </si>
  <si>
    <t xml:space="preserve">Salario mensual promedio últimos 6 meses (en UVT)</t>
  </si>
  <si>
    <t xml:space="preserve">INFORMATIVO</t>
  </si>
  <si>
    <t xml:space="preserve">150M/12/49.799</t>
  </si>
  <si>
    <t xml:space="preserve">Solo se usa si recibe cesantías</t>
  </si>
  <si>
    <t xml:space="preserve">PASO 2 · INGRESOS, COSTOS Y RETENCIONES — CONCILIACIÓN POR TERCERO</t>
  </si>
  <si>
    <t xml:space="preserve">Cada fila = un hecho económico. NO sume el certificado y la exógena: son dos fuentes del mismo ingreso. 'Incluir'=Sí lo lleva a la declaración. Valores en pesos EXACTOS (el redondeo del art. 577 se aplica solo en las casillas). ÁMBAR = estimado que usted debe reemplazar con certificado.</t>
  </si>
  <si>
    <t xml:space="preserve">ID</t>
  </si>
  <si>
    <t xml:space="preserve">Categoría tributaria</t>
  </si>
  <si>
    <t xml:space="preserve">Tercero</t>
  </si>
  <si>
    <t xml:space="preserve">NIT</t>
  </si>
  <si>
    <t xml:space="preserve">Concepto</t>
  </si>
  <si>
    <t xml:space="preserve">Valor bruto exacto</t>
  </si>
  <si>
    <t xml:space="preserve">Costos</t>
  </si>
  <si>
    <t xml:space="preserve">Retención</t>
  </si>
  <si>
    <t xml:space="preserve">Incluir</t>
  </si>
  <si>
    <t xml:space="preserve">Soporte</t>
  </si>
  <si>
    <t xml:space="preserve">Casilla</t>
  </si>
  <si>
    <t xml:space="preserve">Observación</t>
  </si>
  <si>
    <t xml:space="preserve">Trabajo - laboral</t>
  </si>
  <si>
    <t xml:space="preserve">EMPRESA EJEMPLO S.A.S.</t>
  </si>
  <si>
    <t xml:space="preserve">900111222</t>
  </si>
  <si>
    <t xml:space="preserve">Pagos por salarios</t>
  </si>
  <si>
    <t xml:space="preserve">Confirmado</t>
  </si>
  <si>
    <t xml:space="preserve">Formato 220 casilla 36</t>
  </si>
  <si>
    <t xml:space="preserve">32 / 132</t>
  </si>
  <si>
    <t xml:space="preserve">El 220 y la exógena deben coincidir: si difieren, gana el certificado</t>
  </si>
  <si>
    <t xml:space="preserve">Prestaciones sociales</t>
  </si>
  <si>
    <t xml:space="preserve">Formato 220 casilla 42</t>
  </si>
  <si>
    <t xml:space="preserve">No son cesantías (esas van aparte y NO participan del 25%)</t>
  </si>
  <si>
    <t xml:space="preserve">Otros pagos laborales</t>
  </si>
  <si>
    <t xml:space="preserve">Pendiente</t>
  </si>
  <si>
    <t xml:space="preserve">Formato 220 casilla 46</t>
  </si>
  <si>
    <t xml:space="preserve">Trabajo - sin costos</t>
  </si>
  <si>
    <t xml:space="preserve">CLIENTE DEMO LTDA</t>
  </si>
  <si>
    <t xml:space="preserve">900333444</t>
  </si>
  <si>
    <t xml:space="preserve">Honorarios por asesoría (sin costos asociados)</t>
  </si>
  <si>
    <t xml:space="preserve">Provisional</t>
  </si>
  <si>
    <t xml:space="preserve">Cuenta de cobro + certificado</t>
  </si>
  <si>
    <t xml:space="preserve">Instructivo c.32: honorarios SIN costos van aquí y participan del 25% exento. Si hubo costos reales, reclasifique a 'Trabajo - con costos' (excluyente con el 25%)</t>
  </si>
  <si>
    <t xml:space="preserve">Capital - rendimientos</t>
  </si>
  <si>
    <t xml:space="preserve">BANCO MODELO S.A.</t>
  </si>
  <si>
    <t xml:space="preserve">900555666</t>
  </si>
  <si>
    <t xml:space="preserve">Intereses cuenta de ahorros</t>
  </si>
  <si>
    <t xml:space="preserve">Certificado tributario del banco</t>
  </si>
  <si>
    <t xml:space="preserve">58 / 132</t>
  </si>
  <si>
    <t xml:space="preserve">Elegible para componente inflacionario</t>
  </si>
  <si>
    <t xml:space="preserve">FINTECH DEMO C.F.</t>
  </si>
  <si>
    <t xml:space="preserve">900777888</t>
  </si>
  <si>
    <t xml:space="preserve">Intereses depósito digital</t>
  </si>
  <si>
    <t xml:space="preserve">Certificado tributario</t>
  </si>
  <si>
    <t xml:space="preserve">¿Otra cuenta con rendimientos?</t>
  </si>
  <si>
    <t xml:space="preserve">Certificado</t>
  </si>
  <si>
    <t xml:space="preserve">58</t>
  </si>
  <si>
    <t xml:space="preserve">Revise TODAS sus cuentas: la exógena a veces omite entidades</t>
  </si>
  <si>
    <t xml:space="preserve">Fila libre</t>
  </si>
  <si>
    <t xml:space="preserve">No laboral</t>
  </si>
  <si>
    <t xml:space="preserve">Otros ingresos no laborales</t>
  </si>
  <si>
    <t xml:space="preserve">74</t>
  </si>
  <si>
    <t xml:space="preserve">Trabajo - cesantías</t>
  </si>
  <si>
    <t xml:space="preserve">Cesantías pagadas o consignadas</t>
  </si>
  <si>
    <t xml:space="preserve">Certificado del fondo</t>
  </si>
  <si>
    <t xml:space="preserve">Tienen SU PROPIA exención (tabla num. 4); no entran al 25%</t>
  </si>
  <si>
    <t xml:space="preserve">Capital - otros</t>
  </si>
  <si>
    <t xml:space="preserve">INMOBILIARIA DEMO S.A.S.</t>
  </si>
  <si>
    <t xml:space="preserve">900999000</t>
  </si>
  <si>
    <t xml:space="preserve">Arrendamiento apartaestudio (canon anual)</t>
  </si>
  <si>
    <t xml:space="preserve">Contrato + consignaciones</t>
  </si>
  <si>
    <t xml:space="preserve">El arriendo es renta de CAPITAL (art. 335) aunque un tercero lo recaude o la DIAN 'sugiera' otra casilla</t>
  </si>
  <si>
    <t xml:space="preserve">Trabajo - con costos</t>
  </si>
  <si>
    <t xml:space="preserve">Honorarios que optan por costos</t>
  </si>
  <si>
    <t xml:space="preserve">Facturas y soportes</t>
  </si>
  <si>
    <t xml:space="preserve">43 / 45</t>
  </si>
  <si>
    <t xml:space="preserve">Excluyente con el 25% sobre esos ingresos</t>
  </si>
  <si>
    <t xml:space="preserve">Pensión</t>
  </si>
  <si>
    <t xml:space="preserve">Ingresos por pensiones</t>
  </si>
  <si>
    <t xml:space="preserve">Certificado pensional</t>
  </si>
  <si>
    <t xml:space="preserve">99</t>
  </si>
  <si>
    <t xml:space="preserve">Dividendo 1</t>
  </si>
  <si>
    <t xml:space="preserve">Dividendos no gravados en la sociedad</t>
  </si>
  <si>
    <t xml:space="preserve">Certificado societario</t>
  </si>
  <si>
    <t xml:space="preserve">107</t>
  </si>
  <si>
    <t xml:space="preserve">Dividendo 2</t>
  </si>
  <si>
    <t xml:space="preserve">Dividendos gravados en la sociedad</t>
  </si>
  <si>
    <t xml:space="preserve">108</t>
  </si>
  <si>
    <t xml:space="preserve">Ganancia ocasional</t>
  </si>
  <si>
    <t xml:space="preserve">Venta de activos ≥2 años / herencias / donaciones</t>
  </si>
  <si>
    <t xml:space="preserve">Escritura/soporte</t>
  </si>
  <si>
    <t xml:space="preserve">112</t>
  </si>
  <si>
    <t xml:space="preserve">Lotería</t>
  </si>
  <si>
    <t xml:space="preserve">Premios (tarifa 20%)</t>
  </si>
  <si>
    <t xml:space="preserve">RESUMEN CALCULADO — VALORES EXACTOS (antes del redondeo del formulario)</t>
  </si>
  <si>
    <t xml:space="preserve">Total ingresos brutos incluidos</t>
  </si>
  <si>
    <t xml:space="preserve">Rentas de trabajo — casilla 32 (laboral + cesantías + sin costos)</t>
  </si>
  <si>
    <t xml:space="preserve">Trabajo con costos — casilla 43</t>
  </si>
  <si>
    <t xml:space="preserve">Rendimientos financieros elegibles (comp. inflacionario)</t>
  </si>
  <si>
    <t xml:space="preserve">Otros ingresos de capital</t>
  </si>
  <si>
    <t xml:space="preserve">Rentas no laborales</t>
  </si>
  <si>
    <t xml:space="preserve">Pensiones</t>
  </si>
  <si>
    <t xml:space="preserve">Dividendos 1.ª subcédula</t>
  </si>
  <si>
    <t xml:space="preserve">Dividendos 2.ª subcédula</t>
  </si>
  <si>
    <t xml:space="preserve">Ganancias ocasionales (sin loterías)</t>
  </si>
  <si>
    <t xml:space="preserve">Loterías, rifas y apuestas</t>
  </si>
  <si>
    <t xml:space="preserve">Retenciones incluidas</t>
  </si>
  <si>
    <t xml:space="preserve">Costos — trabajo con costos</t>
  </si>
  <si>
    <t xml:space="preserve">Costos financieros — capital</t>
  </si>
  <si>
    <t xml:space="preserve">Costos — no laborales</t>
  </si>
  <si>
    <t xml:space="preserve">Solo 'Trabajo - laboral' (base 10% dependientes art. 387)</t>
  </si>
  <si>
    <t xml:space="preserve">Partidas incluidas sin soporte confirmado</t>
  </si>
  <si>
    <t xml:space="preserve">Cesantías incluidas</t>
  </si>
  <si>
    <t xml:space="preserve">Parte NO gravada de cesantías (% según salario promedio, tabla instructivo c.36)</t>
  </si>
  <si>
    <t xml:space="preserve">Cesantías exentas (num. 4 art. 206)</t>
  </si>
  <si>
    <t xml:space="preserve">PASO 3 · BENEFICIOS: INCRNGO, EXENTAS, DEDUCCIONES Y DESCUENTOS</t>
  </si>
  <si>
    <t xml:space="preserve">La columna F calcula el valor ACEPTADO por la regla legal. 'Aplicar'=Sí exige soporte. ÁMBAR = valor ESTIMADO que usted debe reemplazar.</t>
  </si>
  <si>
    <t xml:space="preserve">Base / entrada</t>
  </si>
  <si>
    <t xml:space="preserve">Meses/%</t>
  </si>
  <si>
    <t xml:space="preserve">Aplicar</t>
  </si>
  <si>
    <t xml:space="preserve">Valor aceptado</t>
  </si>
  <si>
    <t xml:space="preserve">Destino</t>
  </si>
  <si>
    <t xml:space="preserve">Regla resumida</t>
  </si>
  <si>
    <t xml:space="preserve">Advertencia</t>
  </si>
  <si>
    <t xml:space="preserve">Aportes obligatorios a salud</t>
  </si>
  <si>
    <t xml:space="preserve">33</t>
  </si>
  <si>
    <t xml:space="preserve">INCRNGO — art. 56 E.T.</t>
  </si>
  <si>
    <t xml:space="preserve">Certificado 220 casilla 53</t>
  </si>
  <si>
    <t xml:space="preserve">Aportes obligatorios a pensión y FSP</t>
  </si>
  <si>
    <t xml:space="preserve">INCRNGO — art. 55 E.T.</t>
  </si>
  <si>
    <t xml:space="preserve">Certificado 220 casilla 54</t>
  </si>
  <si>
    <t xml:space="preserve">Cotización voluntaria al RAIS</t>
  </si>
  <si>
    <t xml:space="preserve">Máx. 25% del ingreso y 2.500 UVT (art. 55)</t>
  </si>
  <si>
    <t xml:space="preserve">INCRNGO: vive FUERA del límite del 40% — palanca real si el límite está copado</t>
  </si>
  <si>
    <t xml:space="preserve">Otros INCRNGO laborales</t>
  </si>
  <si>
    <t xml:space="preserve">Solo partidas expresamente no gravadas</t>
  </si>
  <si>
    <t xml:space="preserve">INCRNGO de trabajo con costos</t>
  </si>
  <si>
    <t xml:space="preserve">44</t>
  </si>
  <si>
    <t xml:space="preserve">Componente inflacionario de rendimientos</t>
  </si>
  <si>
    <t xml:space="preserve">59</t>
  </si>
  <si>
    <t xml:space="preserve">Corroborado</t>
  </si>
  <si>
    <t xml:space="preserve">% del año sobre rendimientos BRUTOS elegibles (verifique el decreto anual)</t>
  </si>
  <si>
    <t xml:space="preserve">Solo NO obligados a contabilidad y entidades vigiladas</t>
  </si>
  <si>
    <t xml:space="preserve">AFC certificado por el EMPLEADOR (control)</t>
  </si>
  <si>
    <t xml:space="preserve">control</t>
  </si>
  <si>
    <t xml:space="preserve">Dato de comparación — 220 casilla 57</t>
  </si>
  <si>
    <t xml:space="preserve">Concilie SIEMPRE contra lo reportado por el banco/fondo</t>
  </si>
  <si>
    <t xml:space="preserve">AFC reportado por la entidad (control)</t>
  </si>
  <si>
    <t xml:space="preserve">No aplica</t>
  </si>
  <si>
    <t xml:space="preserve">Dato de comparación — exógena/certificado</t>
  </si>
  <si>
    <t xml:space="preserve">AFC APLICADO (elija fuente en la columna D)</t>
  </si>
  <si>
    <t xml:space="preserve">220</t>
  </si>
  <si>
    <t xml:space="preserve">35</t>
  </si>
  <si>
    <t xml:space="preserve">Renta exenta — art. 126-4; permanencia 10 años o destino vivienda</t>
  </si>
  <si>
    <t xml:space="preserve">El selector D toma '220' (empleador) o el valor de la entidad (fila 12)</t>
  </si>
  <si>
    <t xml:space="preserve">Fondo voluntario de pensiones (FVP)</t>
  </si>
  <si>
    <t xml:space="preserve">Art. 126-1; tope conjunto con AFC</t>
  </si>
  <si>
    <t xml:space="preserve">Aportes AVC</t>
  </si>
  <si>
    <t xml:space="preserve">Tope conjunto</t>
  </si>
  <si>
    <t xml:space="preserve">Otras rentas exentas laborales (dentro del límite)</t>
  </si>
  <si>
    <t xml:space="preserve">36</t>
  </si>
  <si>
    <t xml:space="preserve">Norma específica</t>
  </si>
  <si>
    <t xml:space="preserve">Intereses de crédito de vivienda (SU parte)</t>
  </si>
  <si>
    <t xml:space="preserve">38</t>
  </si>
  <si>
    <t xml:space="preserve">Máx. 1.200 UVT (art. 119)</t>
  </si>
  <si>
    <t xml:space="preserve">Crédito compartido con el cónyuge: se toma el 50% de los intereses certificados ($8.000.000 ÷ 2)</t>
  </si>
  <si>
    <t xml:space="preserve">Intereses ICETEX</t>
  </si>
  <si>
    <t xml:space="preserve">39</t>
  </si>
  <si>
    <t xml:space="preserve">Máx. 100 UVT</t>
  </si>
  <si>
    <t xml:space="preserve">Medicina prepagada / seguro de salud</t>
  </si>
  <si>
    <t xml:space="preserve">Máx. 16 UVT por mes con cobertura (art. 387)</t>
  </si>
  <si>
    <t xml:space="preserve">Certificado anual de la compañía</t>
  </si>
  <si>
    <t xml:space="preserve">GMF (4×1000) certificado</t>
  </si>
  <si>
    <t xml:space="preserve">Deducible el 50% (art. 115)</t>
  </si>
  <si>
    <t xml:space="preserve">Sume los certificados GMF de TODOS los bancos</t>
  </si>
  <si>
    <t xml:space="preserve">Dependientes — deducción art. 387 (automática)</t>
  </si>
  <si>
    <t xml:space="preserve">Menor entre 10% del ingreso laboral y 32 UVT/mes</t>
  </si>
  <si>
    <t xml:space="preserve">Se activa desde 06_DEPENDIENTES</t>
  </si>
  <si>
    <t xml:space="preserve">Dependientes — 72 UVT adicionales (automática)</t>
  </si>
  <si>
    <t xml:space="preserve">139</t>
  </si>
  <si>
    <t xml:space="preserve">72 UVT por dependiente, máx. 4; FUERA del límite del 40%</t>
  </si>
  <si>
    <t xml:space="preserve">Compras con factura electrónica susceptibles</t>
  </si>
  <si>
    <t xml:space="preserve">28</t>
  </si>
  <si>
    <t xml:space="preserve">1% de compras, máx. 240 UVT, FUERA del límite (art. 336-5)</t>
  </si>
  <si>
    <t xml:space="preserve">Tome el monto 'susceptible de beneficio' que la DIAN prefiltra en la exógena</t>
  </si>
  <si>
    <t xml:space="preserve">AFC/FVP — imputable a trabajo con costos</t>
  </si>
  <si>
    <t xml:space="preserve">47</t>
  </si>
  <si>
    <t xml:space="preserve">AFC/FVP — imputable a rentas de capital</t>
  </si>
  <si>
    <t xml:space="preserve">63</t>
  </si>
  <si>
    <t xml:space="preserve">AFC/FVP — imputable a no laborales</t>
  </si>
  <si>
    <t xml:space="preserve">80</t>
  </si>
  <si>
    <t xml:space="preserve">Pérdidas fiscales compensables</t>
  </si>
  <si>
    <t xml:space="preserve">94</t>
  </si>
  <si>
    <t xml:space="preserve">Art. 147; requiere contador</t>
  </si>
  <si>
    <t xml:space="preserve">Exceso de renta presuntiva compensable</t>
  </si>
  <si>
    <t xml:space="preserve">95</t>
  </si>
  <si>
    <t xml:space="preserve">Art. 189</t>
  </si>
  <si>
    <t xml:space="preserve">Rentas gravables (activos omitidos / pasivos inexistentes)</t>
  </si>
  <si>
    <t xml:space="preserve">96</t>
  </si>
  <si>
    <t xml:space="preserve">Art. 239-1; requiere contador</t>
  </si>
  <si>
    <t xml:space="preserve">Aportes a salud sobre pensiones</t>
  </si>
  <si>
    <t xml:space="preserve">100</t>
  </si>
  <si>
    <t xml:space="preserve">Meses con pensión recibida</t>
  </si>
  <si>
    <t xml:space="preserve">102</t>
  </si>
  <si>
    <t xml:space="preserve">Exenta hasta 1.000 UVT/mes (art. 206-5)</t>
  </si>
  <si>
    <t xml:space="preserve">Dividendos de 2016 y anteriores</t>
  </si>
  <si>
    <t xml:space="preserve">104</t>
  </si>
  <si>
    <t xml:space="preserve">Régimen de transición</t>
  </si>
  <si>
    <t xml:space="preserve">Costos de ganancias ocasionales</t>
  </si>
  <si>
    <t xml:space="preserve">113</t>
  </si>
  <si>
    <t xml:space="preserve">Ganancias ocasionales no gravadas y exentas</t>
  </si>
  <si>
    <t xml:space="preserve">114</t>
  </si>
  <si>
    <t xml:space="preserve">Arts. 307 y 311-1</t>
  </si>
  <si>
    <t xml:space="preserve">Impuesto exterior sobre ganancia ocasional (descuento)</t>
  </si>
  <si>
    <t xml:space="preserve">128</t>
  </si>
  <si>
    <t xml:space="preserve">Impuestos pagados en el exterior (descuento renta)</t>
  </si>
  <si>
    <t xml:space="preserve">122</t>
  </si>
  <si>
    <t xml:space="preserve">Art. 254</t>
  </si>
  <si>
    <t xml:space="preserve">Donaciones a entidades del RTE (valor donado)</t>
  </si>
  <si>
    <t xml:space="preserve">123</t>
  </si>
  <si>
    <t xml:space="preserve">Descuento = 25% de lo donado (art. 257)</t>
  </si>
  <si>
    <t xml:space="preserve">Requiere certificación</t>
  </si>
  <si>
    <t xml:space="preserve">Otros descuentos tributarios</t>
  </si>
  <si>
    <t xml:space="preserve">124</t>
  </si>
  <si>
    <t xml:space="preserve">Norma expresa</t>
  </si>
  <si>
    <t xml:space="preserve">Sanciones</t>
  </si>
  <si>
    <t xml:space="preserve">135</t>
  </si>
  <si>
    <t xml:space="preserve">Mínimo 10 UVT del año de presentación</t>
  </si>
  <si>
    <t xml:space="preserve">Cero en declaración inicial oportuna</t>
  </si>
  <si>
    <t xml:space="preserve">Aporte voluntario art. 244-1</t>
  </si>
  <si>
    <t xml:space="preserve">141</t>
  </si>
  <si>
    <t xml:space="preserve">CASOS ESPECIALES POR CASILLA — use solo si aplican y existe soporte</t>
  </si>
  <si>
    <t xml:space="preserve">Aceptado</t>
  </si>
  <si>
    <t xml:space="preserve">E-01</t>
  </si>
  <si>
    <t xml:space="preserve">Otras rentas exentas — trabajo con costos</t>
  </si>
  <si>
    <t xml:space="preserve">48</t>
  </si>
  <si>
    <t xml:space="preserve">Sin 25% si optó por costos</t>
  </si>
  <si>
    <t xml:space="preserve">E-02</t>
  </si>
  <si>
    <t xml:space="preserve">Intereses de vivienda — trabajo con costos</t>
  </si>
  <si>
    <t xml:space="preserve">50</t>
  </si>
  <si>
    <t xml:space="preserve">No duplicar certificado</t>
  </si>
  <si>
    <t xml:space="preserve">E-03</t>
  </si>
  <si>
    <t xml:space="preserve">Otras deducciones — trabajo con costos</t>
  </si>
  <si>
    <t xml:space="preserve">51</t>
  </si>
  <si>
    <t xml:space="preserve">E-04</t>
  </si>
  <si>
    <t xml:space="preserve">Pérdidas compensables — trabajo con costos</t>
  </si>
  <si>
    <t xml:space="preserve">56</t>
  </si>
  <si>
    <t xml:space="preserve">Misma subcédula</t>
  </si>
  <si>
    <t xml:space="preserve">E-05</t>
  </si>
  <si>
    <t xml:space="preserve">Rentas líquidas pasivas ECE — capital</t>
  </si>
  <si>
    <t xml:space="preserve">62</t>
  </si>
  <si>
    <t xml:space="preserve">Requiere análisis ECE (contador)</t>
  </si>
  <si>
    <t xml:space="preserve">E-06</t>
  </si>
  <si>
    <t xml:space="preserve">Otras rentas exentas — capital</t>
  </si>
  <si>
    <t xml:space="preserve">64</t>
  </si>
  <si>
    <t xml:space="preserve">E-07</t>
  </si>
  <si>
    <t xml:space="preserve">Intereses de vivienda — capital</t>
  </si>
  <si>
    <t xml:space="preserve">66</t>
  </si>
  <si>
    <t xml:space="preserve">E-08</t>
  </si>
  <si>
    <t xml:space="preserve">Otras deducciones — capital</t>
  </si>
  <si>
    <t xml:space="preserve">67</t>
  </si>
  <si>
    <t xml:space="preserve">E-09</t>
  </si>
  <si>
    <t xml:space="preserve">Pérdidas compensables — capital</t>
  </si>
  <si>
    <t xml:space="preserve">72</t>
  </si>
  <si>
    <t xml:space="preserve">E-10</t>
  </si>
  <si>
    <t xml:space="preserve">Devoluciones, rebajas y descuentos — no laboral</t>
  </si>
  <si>
    <t xml:space="preserve">75</t>
  </si>
  <si>
    <t xml:space="preserve">E-11</t>
  </si>
  <si>
    <t xml:space="preserve">INCRNGO — no laboral</t>
  </si>
  <si>
    <t xml:space="preserve">76</t>
  </si>
  <si>
    <t xml:space="preserve">E-12</t>
  </si>
  <si>
    <t xml:space="preserve">Rentas líquidas pasivas ECE — no laboral</t>
  </si>
  <si>
    <t xml:space="preserve">79</t>
  </si>
  <si>
    <t xml:space="preserve">Requiere análisis ECE</t>
  </si>
  <si>
    <t xml:space="preserve">E-13</t>
  </si>
  <si>
    <t xml:space="preserve">Otras rentas exentas — no laboral</t>
  </si>
  <si>
    <t xml:space="preserve">81</t>
  </si>
  <si>
    <t xml:space="preserve">E-14</t>
  </si>
  <si>
    <t xml:space="preserve">Intereses de vivienda — no laboral</t>
  </si>
  <si>
    <t xml:space="preserve">83</t>
  </si>
  <si>
    <t xml:space="preserve">E-15</t>
  </si>
  <si>
    <t xml:space="preserve">Otras deducciones — no laboral</t>
  </si>
  <si>
    <t xml:space="preserve">84</t>
  </si>
  <si>
    <t xml:space="preserve">E-16</t>
  </si>
  <si>
    <t xml:space="preserve">Pérdidas compensables — no laboral</t>
  </si>
  <si>
    <t xml:space="preserve">89</t>
  </si>
  <si>
    <t xml:space="preserve">E-17</t>
  </si>
  <si>
    <t xml:space="preserve">INCRNGO dividendos 2016 y anteriores</t>
  </si>
  <si>
    <t xml:space="preserve">105</t>
  </si>
  <si>
    <t xml:space="preserve">E-18</t>
  </si>
  <si>
    <t xml:space="preserve">Dividendos recibidos del exterior</t>
  </si>
  <si>
    <t xml:space="preserve">109</t>
  </si>
  <si>
    <t xml:space="preserve">Requiere contador</t>
  </si>
  <si>
    <t xml:space="preserve">E-19</t>
  </si>
  <si>
    <t xml:space="preserve">Renta exenta sobre dividendos del exterior</t>
  </si>
  <si>
    <t xml:space="preserve">110</t>
  </si>
  <si>
    <t xml:space="preserve">Solo CAN probada</t>
  </si>
  <si>
    <t xml:space="preserve">E-20</t>
  </si>
  <si>
    <t xml:space="preserve">Rentas gravables de activos exceptuados de presuntiva</t>
  </si>
  <si>
    <t xml:space="preserve">98</t>
  </si>
  <si>
    <t xml:space="preserve">Instructivo c.98</t>
  </si>
  <si>
    <t xml:space="preserve">E-21</t>
  </si>
  <si>
    <t xml:space="preserve">Rentas exentas laborales FUERA del límite del 40% (206 n.6-9, 206-1, CAN)</t>
  </si>
  <si>
    <t xml:space="preserve">36/41</t>
  </si>
  <si>
    <t xml:space="preserve">Solo con norma y soporte expresos</t>
  </si>
  <si>
    <t xml:space="preserve">PASO 4 · DEPENDIENTES — REGISTRO ÚNICO Y CONTROL DE CONCURRENCIA (DUR 1.2.1.20.3)</t>
  </si>
  <si>
    <t xml:space="preserve">Una fila = una persona. El mismo dependiente puede dar las DOS deducciones (art. 387 y 72 UVT) solo si usted tiene rentas de una relación laboral o legal y reglamentaria.</t>
  </si>
  <si>
    <t xml:space="preserve">Alias</t>
  </si>
  <si>
    <t xml:space="preserve">Relación</t>
  </si>
  <si>
    <t xml:space="preserve">Meses</t>
  </si>
  <si>
    <t xml:space="preserve">Art. 387</t>
  </si>
  <si>
    <t xml:space="preserve">72 UVT</t>
  </si>
  <si>
    <t xml:space="preserve">¿Renta laboral?</t>
  </si>
  <si>
    <t xml:space="preserve">Identificación y observación</t>
  </si>
  <si>
    <t xml:space="preserve">Cuenta</t>
  </si>
  <si>
    <t xml:space="preserve">Control</t>
  </si>
  <si>
    <t xml:space="preserve">DEP-01</t>
  </si>
  <si>
    <t xml:space="preserve">Hijo/a</t>
  </si>
  <si>
    <t xml:space="preserve">Disponible</t>
  </si>
  <si>
    <t xml:space="preserve">Hija de 10 años (FICTICIO) — registro civil en la carpeta de soportes</t>
  </si>
  <si>
    <t xml:space="preserve">DEP-02</t>
  </si>
  <si>
    <t xml:space="preserve">Fila disponible</t>
  </si>
  <si>
    <t xml:space="preserve">DEP-03</t>
  </si>
  <si>
    <t xml:space="preserve">DEP-04</t>
  </si>
  <si>
    <t xml:space="preserve">DEP-05</t>
  </si>
  <si>
    <t xml:space="preserve">DEP-06</t>
  </si>
  <si>
    <t xml:space="preserve">DEP-07</t>
  </si>
  <si>
    <t xml:space="preserve">DEP-08</t>
  </si>
  <si>
    <t xml:space="preserve">RESUMEN CALCULADO</t>
  </si>
  <si>
    <t xml:space="preserve">Uso</t>
  </si>
  <si>
    <t xml:space="preserve">Dependientes únicos activos (casilla 138)</t>
  </si>
  <si>
    <t xml:space="preserve">Casilla 138</t>
  </si>
  <si>
    <t xml:space="preserve">Dependientes válidos para 72 UVT (máx. 4)</t>
  </si>
  <si>
    <t xml:space="preserve">Casilla 139</t>
  </si>
  <si>
    <t xml:space="preserve">Meses cubiertos para art. 387 (máximo entre activos)</t>
  </si>
  <si>
    <t xml:space="preserve">Deducción mensual 32 UVT</t>
  </si>
  <si>
    <t xml:space="preserve">Dependientes activos art. 387</t>
  </si>
  <si>
    <t xml:space="preserve">PASO 5 · PATRIMONIO Y DEUDAS A 31 DE DICIEMBRE DE 2025 — CON HISTORIA 2024</t>
  </si>
  <si>
    <t xml:space="preserve">Activos: se declara el MAYOR entre (valor reportado × participación) y el 'Alterno' (costo fiscal o avalúo, art. 277). Deudas: su parte real con soporte. Columnas L-M: lo declarado en AG2024 y la variación (la DIAN también la ve). ÁMBAR = estimado a reemplazar.</t>
  </si>
  <si>
    <t xml:space="preserve">Tipo</t>
  </si>
  <si>
    <t xml:space="preserve">Categoría</t>
  </si>
  <si>
    <t xml:space="preserve">Entidad / activo</t>
  </si>
  <si>
    <t xml:space="preserve">Valor reportado</t>
  </si>
  <si>
    <t xml:space="preserve">Partic.</t>
  </si>
  <si>
    <t xml:space="preserve">Alterno (costo/avalúo)</t>
  </si>
  <si>
    <t xml:space="preserve">Valor reconocido</t>
  </si>
  <si>
    <t xml:space="preserve">Declarado AG2024</t>
  </si>
  <si>
    <t xml:space="preserve">Variación</t>
  </si>
  <si>
    <t xml:space="preserve">Activo</t>
  </si>
  <si>
    <t xml:space="preserve">Cuenta / depósito</t>
  </si>
  <si>
    <t xml:space="preserve">Banco Modelo — cuenta nómina</t>
  </si>
  <si>
    <t xml:space="preserve">Certificado de saldo 31/12</t>
  </si>
  <si>
    <t xml:space="preserve">Fintech Demo — ahorros</t>
  </si>
  <si>
    <t xml:space="preserve">Fondo de inversión</t>
  </si>
  <si>
    <t xml:space="preserve">FIC Ejemplo</t>
  </si>
  <si>
    <t xml:space="preserve">Inmueble</t>
  </si>
  <si>
    <t xml:space="preserve">Apartamento Bogotá — 50% (compartido con cónyuge)</t>
  </si>
  <si>
    <t xml:space="preserve">Avalúo catastral (total) + escritura (costo 50%)</t>
  </si>
  <si>
    <t xml:space="preserve">Art. 277: se declara el MAYOR entre avalúo×participación ($160M) y costo fiscal ($180M) → $180M</t>
  </si>
  <si>
    <t xml:space="preserve">Vehículo</t>
  </si>
  <si>
    <t xml:space="preserve">Automóvil modelo 2022</t>
  </si>
  <si>
    <t xml:space="preserve">Factura / impuesto vehicular</t>
  </si>
  <si>
    <t xml:space="preserve">Costo de adquisición (no el valor comercial)</t>
  </si>
  <si>
    <t xml:space="preserve">Muebles</t>
  </si>
  <si>
    <t xml:space="preserve">Muebles y enseres del hogar</t>
  </si>
  <si>
    <t xml:space="preserve">Estimación razonable documentada</t>
  </si>
  <si>
    <t xml:space="preserve">Efectivo</t>
  </si>
  <si>
    <t xml:space="preserve">Efectivo en caja</t>
  </si>
  <si>
    <t xml:space="preserve">Conteo propio</t>
  </si>
  <si>
    <t xml:space="preserve">Mantenga el efectivo bajo y con composición conocida</t>
  </si>
  <si>
    <t xml:space="preserve">Deuda</t>
  </si>
  <si>
    <t xml:space="preserve">Crédito hipotecario</t>
  </si>
  <si>
    <t xml:space="preserve">Banco Modelo — crédito vivienda (saldo total; su 50%)</t>
  </si>
  <si>
    <t xml:space="preserve">Certificado del banco</t>
  </si>
  <si>
    <t xml:space="preserve">Crédito compartido: cada codeudor declara SU parte real</t>
  </si>
  <si>
    <t xml:space="preserve">Tarjeta / crédito</t>
  </si>
  <si>
    <t xml:space="preserve">Tarjeta de crédito — saldo 31/12</t>
  </si>
  <si>
    <t xml:space="preserve">Extracto diciembre</t>
  </si>
  <si>
    <t xml:space="preserve">Otro</t>
  </si>
  <si>
    <t xml:space="preserve">RESUMEN Y CONCILIACIÓN CONTRA AG2024</t>
  </si>
  <si>
    <t xml:space="preserve">Opción</t>
  </si>
  <si>
    <t xml:space="preserve">Activos identificados e incluidos</t>
  </si>
  <si>
    <t xml:space="preserve">Automático</t>
  </si>
  <si>
    <t xml:space="preserve">Diferencia frente al patrimonio bruto AG2024 (solo control)</t>
  </si>
  <si>
    <t xml:space="preserve">¿Sumar el faltante frente a AG2024 como ajuste provisional? (NO recomendado)</t>
  </si>
  <si>
    <t xml:space="preserve">PATRIMONIO BRUTO usado en el Formulario 210</t>
  </si>
  <si>
    <t xml:space="preserve">Calculado</t>
  </si>
  <si>
    <t xml:space="preserve">Deudas identificadas e incluidas</t>
  </si>
  <si>
    <t xml:space="preserve">Patrimonio líquido</t>
  </si>
  <si>
    <t xml:space="preserve">Variación del patrimonio BRUTO vs. AG2024</t>
  </si>
  <si>
    <t xml:space="preserve">Variación del patrimonio LÍQUIDO vs. AG2024</t>
  </si>
  <si>
    <t xml:space="preserve">La variación del patrimonio líquido debe caber en lo que la renta explica (arts. 236-239): el control de 12_CONTROLES lo verifica. Revise la columna Variación fila por fila y documente TODO salto material antes de presentar.</t>
  </si>
  <si>
    <t xml:space="preserve">REGISTRO HISTÓRICO — DE DÓNDE VIENE CADA CIFRA (AG2023 → AG2024 → AG2025)</t>
  </si>
  <si>
    <t xml:space="preserve">Reconstrucción de su AyudaRenta 2024 presentada, partida por partida, conectada EN VIVO con este archivo (columna 'AG2025 (este archivo)'). Así cada año arranca del anterior sin perder el hilo. Gris = dato histórico fijo; azul = valor vivo de 2025.</t>
  </si>
  <si>
    <t xml:space="preserve">Sección</t>
  </si>
  <si>
    <t xml:space="preserve">Entidad / concepto</t>
  </si>
  <si>
    <t xml:space="preserve">AG2023</t>
  </si>
  <si>
    <t xml:space="preserve">AG2024</t>
  </si>
  <si>
    <t xml:space="preserve">¿2025?</t>
  </si>
  <si>
    <t xml:space="preserve">Dónde está ahora</t>
  </si>
  <si>
    <t xml:space="preserve">AG2025 (este archivo)</t>
  </si>
  <si>
    <t xml:space="preserve">Variación 24→25</t>
  </si>
  <si>
    <t xml:space="preserve">Nota</t>
  </si>
  <si>
    <t xml:space="preserve">PATRIMONIO</t>
  </si>
  <si>
    <t xml:space="preserve">Efectivo/bancos</t>
  </si>
  <si>
    <t xml:space="preserve">Banco Modelo — nómina</t>
  </si>
  <si>
    <t xml:space="preserve">n.d.</t>
  </si>
  <si>
    <t xml:space="preserve">07 · PAT</t>
  </si>
  <si>
    <t xml:space="preserve">Creció con ahorro del año.</t>
  </si>
  <si>
    <t xml:space="preserve">Fintech Demo</t>
  </si>
  <si>
    <t xml:space="preserve">Inversiones</t>
  </si>
  <si>
    <t xml:space="preserve">Inmuebles</t>
  </si>
  <si>
    <t xml:space="preserve">Apartamento Bogotá — 50%</t>
  </si>
  <si>
    <t xml:space="preserve">2025: costo fiscal $180M &gt; avalúo×50%.</t>
  </si>
  <si>
    <t xml:space="preserve">Vehículos</t>
  </si>
  <si>
    <t xml:space="preserve">Automóvil 2022</t>
  </si>
  <si>
    <t xml:space="preserve">Costo histórico.</t>
  </si>
  <si>
    <t xml:space="preserve">Muebles y enseres</t>
  </si>
  <si>
    <t xml:space="preserve">DEUDAS</t>
  </si>
  <si>
    <t xml:space="preserve">Deudas</t>
  </si>
  <si>
    <t xml:space="preserve">Crédito vivienda (su 50%)</t>
  </si>
  <si>
    <t xml:space="preserve">Amortiza ≈ $6M/año.</t>
  </si>
  <si>
    <t xml:space="preserve">Tarjeta de crédito</t>
  </si>
  <si>
    <t xml:space="preserve">RESULTADO</t>
  </si>
  <si>
    <t xml:space="preserve">Declaración</t>
  </si>
  <si>
    <t xml:space="preserve">09 · F210</t>
  </si>
  <si>
    <t xml:space="preserve">Impuesto neto (c.126)</t>
  </si>
  <si>
    <t xml:space="preserve">CÓMO USARLO EL PRÓXIMO AÑO: al preparar la siguiente declaración, la columna del año actual se convierte en la nueva columna histórica. Así ninguna cifra vuelve a aparecer de la nada — el origen típico de los errores heredados.</t>
  </si>
  <si>
    <t xml:space="preserve">PASO 6 · FORMULARIO 210 — CASILLAS OFICIALES, aproximadas a miles (art. 577 E.T.)</t>
  </si>
  <si>
    <t xml:space="preserve">Copie cada valor azul en la casilla del MISMO número en el MUISCA. Estructura de la Resolución DIAN 000044/2024. No edite fórmulas: las entradas viven en 03_PERFIL, 04_INGRESOS, 05_BENEFICIOS, 06_DEPENDIENTES y 07_PATRIMONIO.</t>
  </si>
  <si>
    <t xml:space="preserve">En palabras simples</t>
  </si>
  <si>
    <t xml:space="preserve">Norma</t>
  </si>
  <si>
    <t xml:space="preserve">PATRIMONIO Y FACTURA ELECTRÓNICA (28-31)</t>
  </si>
  <si>
    <t xml:space="preserve">Uno por ciento (1%) de compras con factura electrónica</t>
  </si>
  <si>
    <t xml:space="preserve">1% de sus compras con factura electrónica (tope 240 UVT). FUERA del límite del 40% y solo si hay renta líquida (no genera pérdida).</t>
  </si>
  <si>
    <t xml:space="preserve">Art. 336 num. 5</t>
  </si>
  <si>
    <t xml:space="preserve">29</t>
  </si>
  <si>
    <t xml:space="preserve">Total patrimonio bruto</t>
  </si>
  <si>
    <t xml:space="preserve">Todo lo que posee a 31/12/2025 (hoja 07_PATRIMONIO).</t>
  </si>
  <si>
    <t xml:space="preserve">Arts. 261-277</t>
  </si>
  <si>
    <t xml:space="preserve">30</t>
  </si>
  <si>
    <t xml:space="preserve">Su parte real de las deudas con soporte.</t>
  </si>
  <si>
    <t xml:space="preserve">Arts. 283-284, 767, 770</t>
  </si>
  <si>
    <t xml:space="preserve">31</t>
  </si>
  <si>
    <t xml:space="preserve">Total patrimonio líquido (29-30)</t>
  </si>
  <si>
    <t xml:space="preserve">Art. 282</t>
  </si>
  <si>
    <t xml:space="preserve">CÉDULA GENERAL — RENTAS DE TRABAJO (32-42)</t>
  </si>
  <si>
    <t xml:space="preserve">Ingresos brutos por rentas de trabajo</t>
  </si>
  <si>
    <t xml:space="preserve">Salarios + prestaciones + otros pagos + cesantías + servicios personales SIN costos (instructivo c.32).</t>
  </si>
  <si>
    <t xml:space="preserve">Art. 103; instructivo c.32</t>
  </si>
  <si>
    <t xml:space="preserve">Ingresos no constitutivos de renta</t>
  </si>
  <si>
    <t xml:space="preserve">Aportes obligatorios a salud y pensión (y RAIS voluntario si aplica).</t>
  </si>
  <si>
    <t xml:space="preserve">Arts. 55-56</t>
  </si>
  <si>
    <t xml:space="preserve">34</t>
  </si>
  <si>
    <t xml:space="preserve">Renta líquida (32-33)</t>
  </si>
  <si>
    <t xml:space="preserve">Art. 26</t>
  </si>
  <si>
    <t xml:space="preserve">Rentas exentas — aportes AFC, FVP y AVC</t>
  </si>
  <si>
    <t xml:space="preserve">Tope conjunto: 30% del ingreso del año y 3.800 UVT (se reparte entre subcédulas).</t>
  </si>
  <si>
    <t xml:space="preserve">Arts. 126-1 y 126-4</t>
  </si>
  <si>
    <t xml:space="preserve">Otras rentas exentas (incluye el 25% laboral)</t>
  </si>
  <si>
    <t xml:space="preserve">25% de los pagos laborales tras restar INCRNGO, AFC, deducciones y demás exentas; tope 790 UVT. NO se aplica sobre cesantías (num. 4 propio).</t>
  </si>
  <si>
    <t xml:space="preserve">Art. 206 num. 10; instructivo c.36</t>
  </si>
  <si>
    <t xml:space="preserve">37</t>
  </si>
  <si>
    <t xml:space="preserve">Total rentas exentas de trabajo (35+36)</t>
  </si>
  <si>
    <t xml:space="preserve">Deducción — intereses de vivienda</t>
  </si>
  <si>
    <t xml:space="preserve">Tope anual conjunto de 1.200 UVT entre subcédulas.</t>
  </si>
  <si>
    <t xml:space="preserve">Art. 119</t>
  </si>
  <si>
    <t xml:space="preserve">Deducción — otras deducciones imputables</t>
  </si>
  <si>
    <t xml:space="preserve">ICETEX + medicina prepagada + 50% GMF + dependientes art. 387 (mensualizado).</t>
  </si>
  <si>
    <t xml:space="preserve">Arts. 115, 119, 387</t>
  </si>
  <si>
    <t xml:space="preserve">40</t>
  </si>
  <si>
    <t xml:space="preserve">Total deducciones imputables (38+39)</t>
  </si>
  <si>
    <t xml:space="preserve">41</t>
  </si>
  <si>
    <t xml:space="preserve">Rentas exentas y deducciones imputables (LIMITADAS)</t>
  </si>
  <si>
    <t xml:space="preserve">Primer uso del límite del 40%/1.340 UVT; lo 'fuera del límite' (E-21) pasa sin consumir cupo.</t>
  </si>
  <si>
    <t xml:space="preserve">Art. 336 num. 3</t>
  </si>
  <si>
    <t xml:space="preserve">42</t>
  </si>
  <si>
    <t xml:space="preserve">Renta líquida ordinaria de trabajo (34-41)</t>
  </si>
  <si>
    <t xml:space="preserve">TRABAJO SIN RELACIÓN LABORAL, CON COSTOS (43-57)</t>
  </si>
  <si>
    <t xml:space="preserve">43</t>
  </si>
  <si>
    <t xml:space="preserve">Ingresos brutos trabajo con costos</t>
  </si>
  <si>
    <t xml:space="preserve">Honorarios/servicios que OPTAN por costos (renuncian al 25%).</t>
  </si>
  <si>
    <t xml:space="preserve">Art. 336 num. 4</t>
  </si>
  <si>
    <t xml:space="preserve">45</t>
  </si>
  <si>
    <t xml:space="preserve">Costos y gastos procedentes</t>
  </si>
  <si>
    <t xml:space="preserve">Art. 107</t>
  </si>
  <si>
    <t xml:space="preserve">46</t>
  </si>
  <si>
    <t xml:space="preserve">Renta líquida (43-44-45)</t>
  </si>
  <si>
    <t xml:space="preserve">AFC, FVP y AVC</t>
  </si>
  <si>
    <t xml:space="preserve">Segundo uso del tope AFC.</t>
  </si>
  <si>
    <t xml:space="preserve">Otras rentas exentas</t>
  </si>
  <si>
    <t xml:space="preserve">49</t>
  </si>
  <si>
    <t xml:space="preserve">Total rentas exentas (47+48)</t>
  </si>
  <si>
    <t xml:space="preserve">Intereses de vivienda</t>
  </si>
  <si>
    <t xml:space="preserve">Saldo del tope de 1.200 UVT.</t>
  </si>
  <si>
    <t xml:space="preserve">Otras deducciones imputables</t>
  </si>
  <si>
    <t xml:space="preserve">52</t>
  </si>
  <si>
    <t xml:space="preserve">Total deducciones (50+51)</t>
  </si>
  <si>
    <t xml:space="preserve">53</t>
  </si>
  <si>
    <t xml:space="preserve">Exentas y deducciones LIMITADAS</t>
  </si>
  <si>
    <t xml:space="preserve">Segundo uso del límite del 40%.</t>
  </si>
  <si>
    <t xml:space="preserve">54</t>
  </si>
  <si>
    <t xml:space="preserve">Renta líquida ordinaria (43-44-45-53)</t>
  </si>
  <si>
    <t xml:space="preserve">55</t>
  </si>
  <si>
    <t xml:space="preserve">Pérdida líquida del ejercicio</t>
  </si>
  <si>
    <t xml:space="preserve">Compensaciones por pérdidas</t>
  </si>
  <si>
    <t xml:space="preserve">57</t>
  </si>
  <si>
    <t xml:space="preserve">Renta líquida (54-56)</t>
  </si>
  <si>
    <t xml:space="preserve">RENTAS DE CAPITAL (58-73)</t>
  </si>
  <si>
    <t xml:space="preserve">Ingresos brutos rentas de capital</t>
  </si>
  <si>
    <t xml:space="preserve">Intereses, rendimientos, arrendamientos.</t>
  </si>
  <si>
    <t xml:space="preserve">Art. 335</t>
  </si>
  <si>
    <t xml:space="preserve">INCRNGO (componente inflacionario)</t>
  </si>
  <si>
    <t xml:space="preserve">55,43% de los rendimientos BRUTOS de entidades vigiladas (no obligados a contabilidad).</t>
  </si>
  <si>
    <t xml:space="preserve">Arts. 38 y 40-1; Dcto. 898/2026</t>
  </si>
  <si>
    <t xml:space="preserve">60</t>
  </si>
  <si>
    <t xml:space="preserve">Si no lleva contabilidad, el 28,35% de los costos financieros NO es deducible.</t>
  </si>
  <si>
    <t xml:space="preserve">Arts. 81 y 118; Dcto. 898/2026</t>
  </si>
  <si>
    <t xml:space="preserve">61</t>
  </si>
  <si>
    <t xml:space="preserve">Renta líquida (58-59-60)</t>
  </si>
  <si>
    <t xml:space="preserve">Rentas líquidas pasivas — ECE</t>
  </si>
  <si>
    <t xml:space="preserve">Solo régimen ECE (requiere contador).</t>
  </si>
  <si>
    <t xml:space="preserve">Arts. 882 y ss.</t>
  </si>
  <si>
    <t xml:space="preserve">65</t>
  </si>
  <si>
    <t xml:space="preserve">Total rentas exentas (63+64)</t>
  </si>
  <si>
    <t xml:space="preserve">68</t>
  </si>
  <si>
    <t xml:space="preserve">Total deducciones (66+67)</t>
  </si>
  <si>
    <t xml:space="preserve">69</t>
  </si>
  <si>
    <t xml:space="preserve">Tercer uso del límite.</t>
  </si>
  <si>
    <t xml:space="preserve">70</t>
  </si>
  <si>
    <t xml:space="preserve">Renta líquida ordinaria (58+62-59-60-69)</t>
  </si>
  <si>
    <t xml:space="preserve">71</t>
  </si>
  <si>
    <t xml:space="preserve">73</t>
  </si>
  <si>
    <t xml:space="preserve">Renta líquida de capital (70-72)</t>
  </si>
  <si>
    <t xml:space="preserve">RENTAS NO LABORALES (74-90)</t>
  </si>
  <si>
    <t xml:space="preserve">Ingresos brutos rentas no laborales</t>
  </si>
  <si>
    <t xml:space="preserve">Devoluciones, rebajas y descuentos</t>
  </si>
  <si>
    <t xml:space="preserve">77</t>
  </si>
  <si>
    <t xml:space="preserve">78</t>
  </si>
  <si>
    <t xml:space="preserve">Renta líquida (74-75-76-77)</t>
  </si>
  <si>
    <t xml:space="preserve">82</t>
  </si>
  <si>
    <t xml:space="preserve">Total rentas exentas (80+81)</t>
  </si>
  <si>
    <t xml:space="preserve">85</t>
  </si>
  <si>
    <t xml:space="preserve">Total deducciones (83+84)</t>
  </si>
  <si>
    <t xml:space="preserve">86</t>
  </si>
  <si>
    <t xml:space="preserve">Cuarto uso del límite.</t>
  </si>
  <si>
    <t xml:space="preserve">87</t>
  </si>
  <si>
    <t xml:space="preserve">Renta líquida ordinaria</t>
  </si>
  <si>
    <t xml:space="preserve">88</t>
  </si>
  <si>
    <t xml:space="preserve">90</t>
  </si>
  <si>
    <t xml:space="preserve">Renta líquida no laboral (87-89)</t>
  </si>
  <si>
    <t xml:space="preserve">RESUMEN CÉDULA GENERAL (91-98)</t>
  </si>
  <si>
    <t xml:space="preserve">AUX</t>
  </si>
  <si>
    <t xml:space="preserve">Base del límite (ingresos + ECE − INCRNGO)</t>
  </si>
  <si>
    <t xml:space="preserve">Art. 336 num. 1-2: la base NO resta costos.</t>
  </si>
  <si>
    <t xml:space="preserve">Límite combinado 40% / 1.340 UVT</t>
  </si>
  <si>
    <t xml:space="preserve">Se reparte en cascada entre subcédulas.</t>
  </si>
  <si>
    <t xml:space="preserve">91</t>
  </si>
  <si>
    <t xml:space="preserve">Renta líquida cédula general (41+42+53+57+69+73+86+90)</t>
  </si>
  <si>
    <t xml:space="preserve">Suma de subcédulas antes de restar los beneficios de la casilla 92.</t>
  </si>
  <si>
    <t xml:space="preserve">Art. 336</t>
  </si>
  <si>
    <t xml:space="preserve">92</t>
  </si>
  <si>
    <t xml:space="preserve">Rentas exentas y deducciones imputables limitadas (28+41+53+69+86+139)</t>
  </si>
  <si>
    <t xml:space="preserve">Todos los beneficios aceptados: limitados + 1% facturas + 72 UVT por dependientes.</t>
  </si>
  <si>
    <t xml:space="preserve">Instructivo c.92</t>
  </si>
  <si>
    <t xml:space="preserve">93</t>
  </si>
  <si>
    <t xml:space="preserve">Renta líquida ordinaria cédula general (91-92)</t>
  </si>
  <si>
    <t xml:space="preserve">Compensaciones por pérdidas 2018 y anteriores</t>
  </si>
  <si>
    <t xml:space="preserve">Requiere contador.</t>
  </si>
  <si>
    <t xml:space="preserve">Art. 147</t>
  </si>
  <si>
    <t xml:space="preserve">Compensaciones por exceso de renta presuntiva</t>
  </si>
  <si>
    <t xml:space="preserve">Rentas gravables (activos omitidos/pasivos inexistentes)</t>
  </si>
  <si>
    <t xml:space="preserve">Art. 239-1</t>
  </si>
  <si>
    <t xml:space="preserve">97</t>
  </si>
  <si>
    <t xml:space="preserve">Renta líquida gravable cédula general (93-94-95+96)</t>
  </si>
  <si>
    <t xml:space="preserve">Renta presuntiva</t>
  </si>
  <si>
    <t xml:space="preserve">Tarifa 0% desde 2021 (parametrizada).</t>
  </si>
  <si>
    <t xml:space="preserve">Arts. 188-189</t>
  </si>
  <si>
    <t xml:space="preserve">CÉDULA DE PENSIONES (99-103)</t>
  </si>
  <si>
    <t xml:space="preserve">Ingresos brutos por pensiones</t>
  </si>
  <si>
    <t xml:space="preserve">Art. 337</t>
  </si>
  <si>
    <t xml:space="preserve">101</t>
  </si>
  <si>
    <t xml:space="preserve">Renta líquida (99-100)</t>
  </si>
  <si>
    <t xml:space="preserve">Rentas exentas de pensiones</t>
  </si>
  <si>
    <t xml:space="preserve">Hasta 1.000 UVT por mes.</t>
  </si>
  <si>
    <t xml:space="preserve">Art. 206 num. 5</t>
  </si>
  <si>
    <t xml:space="preserve">103</t>
  </si>
  <si>
    <t xml:space="preserve">Renta líquida gravable de pensiones (101-102)</t>
  </si>
  <si>
    <t xml:space="preserve">DIVIDENDOS Y PARTICIPACIONES (104-111)</t>
  </si>
  <si>
    <t xml:space="preserve">Dividendos año 2016 y anteriores</t>
  </si>
  <si>
    <t xml:space="preserve">Régimen de transición.</t>
  </si>
  <si>
    <t xml:space="preserve">Arts. 48-49</t>
  </si>
  <si>
    <t xml:space="preserve">106</t>
  </si>
  <si>
    <t xml:space="preserve">Renta líquida ordinaria año 2016 y anteriores (104-105)</t>
  </si>
  <si>
    <t xml:space="preserve">1.ª subcédula dividendos 2017+</t>
  </si>
  <si>
    <t xml:space="preserve">Va a la tabla del 241 con descuento 254-1.</t>
  </si>
  <si>
    <t xml:space="preserve">Art. 242</t>
  </si>
  <si>
    <t xml:space="preserve">2.ª subcédula dividendos 2017+</t>
  </si>
  <si>
    <t xml:space="preserve">Primero 35% y el neto a la tabla.</t>
  </si>
  <si>
    <t xml:space="preserve">Arts. 240 y 242</t>
  </si>
  <si>
    <t xml:space="preserve">Rentas exentas de la casilla 109</t>
  </si>
  <si>
    <t xml:space="preserve">111</t>
  </si>
  <si>
    <t xml:space="preserve">RENTA LÍQUIDA GRAVABLE (97 o 98 + 103 + 107 + 108 − 118)</t>
  </si>
  <si>
    <t xml:space="preserve">La base del impuesto de la tabla del art. 241.</t>
  </si>
  <si>
    <t xml:space="preserve">Art. 331</t>
  </si>
  <si>
    <t xml:space="preserve">GANANCIAS OCASIONALES (112-115)</t>
  </si>
  <si>
    <t xml:space="preserve">Ingresos por ganancias ocasionales</t>
  </si>
  <si>
    <t xml:space="preserve">Arts. 299-306</t>
  </si>
  <si>
    <t xml:space="preserve">Costos por ganancias ocasionales</t>
  </si>
  <si>
    <t xml:space="preserve">115</t>
  </si>
  <si>
    <t xml:space="preserve">Ganancias ocasionales gravables (112-113-114)</t>
  </si>
  <si>
    <t xml:space="preserve">LIQUIDACIÓN PRIVADA (116-129)</t>
  </si>
  <si>
    <t xml:space="preserve">116</t>
  </si>
  <si>
    <t xml:space="preserve">Impuesto — tabla art. 241 (cédula general y pensiones)</t>
  </si>
  <si>
    <t xml:space="preserve">Base en UVT truncada a 2 decimales; épsilon 1E-9 contra errores de coma flotante en los bordes.</t>
  </si>
  <si>
    <t xml:space="preserve">Art. 241</t>
  </si>
  <si>
    <t xml:space="preserve">117</t>
  </si>
  <si>
    <t xml:space="preserve">Impuesto sobre renta presuntiva</t>
  </si>
  <si>
    <t xml:space="preserve">118</t>
  </si>
  <si>
    <t xml:space="preserve">Impuesto dividendos 2.ª subcédula (35%)</t>
  </si>
  <si>
    <t xml:space="preserve">Art. 240</t>
  </si>
  <si>
    <t xml:space="preserve">119</t>
  </si>
  <si>
    <t xml:space="preserve">Impuesto dividendos 2016 y anteriores</t>
  </si>
  <si>
    <t xml:space="preserve">Tabla histórica.</t>
  </si>
  <si>
    <t xml:space="preserve">120</t>
  </si>
  <si>
    <t xml:space="preserve">Impuesto dividendos del exterior</t>
  </si>
  <si>
    <t xml:space="preserve">121</t>
  </si>
  <si>
    <t xml:space="preserve">TOTAL impuesto sobre las rentas líquidas gravables (116 a 120)</t>
  </si>
  <si>
    <t xml:space="preserve">Descuento — impuestos pagados en el exterior</t>
  </si>
  <si>
    <t xml:space="preserve">Descuento — donaciones (25% de lo donado)</t>
  </si>
  <si>
    <t xml:space="preserve">Arts. 257-258</t>
  </si>
  <si>
    <t xml:space="preserve">Descuento — dividendos (art. 254-1) y otros</t>
  </si>
  <si>
    <t xml:space="preserve">Art. 254-1</t>
  </si>
  <si>
    <t xml:space="preserve">125</t>
  </si>
  <si>
    <t xml:space="preserve">Total descuentos tributarios (122+123+124)</t>
  </si>
  <si>
    <t xml:space="preserve">Nunca superan el impuesto.</t>
  </si>
  <si>
    <t xml:space="preserve">Art. 259</t>
  </si>
  <si>
    <t xml:space="preserve">126</t>
  </si>
  <si>
    <t xml:space="preserve">IMPUESTO NETO DE RENTA (121-125)</t>
  </si>
  <si>
    <t xml:space="preserve">127</t>
  </si>
  <si>
    <t xml:space="preserve">Impuesto de ganancias ocasionales</t>
  </si>
  <si>
    <t xml:space="preserve">15% general; 20% loterías.</t>
  </si>
  <si>
    <t xml:space="preserve">Arts. 314 y 317</t>
  </si>
  <si>
    <t xml:space="preserve">Descuento impuesto exterior sobre GO</t>
  </si>
  <si>
    <t xml:space="preserve">129</t>
  </si>
  <si>
    <t xml:space="preserve">TOTAL IMPUESTO A CARGO (126+127-128)</t>
  </si>
  <si>
    <t xml:space="preserve">SALDOS, RETENCIONES Y ANTICIPO (130-141)</t>
  </si>
  <si>
    <t xml:space="preserve">130</t>
  </si>
  <si>
    <t xml:space="preserve">Anticipo liquidado año gravable anterior</t>
  </si>
  <si>
    <t xml:space="preserve">Casilla 133 de su declaración 2024.</t>
  </si>
  <si>
    <t xml:space="preserve">Art. 807</t>
  </si>
  <si>
    <t xml:space="preserve">131</t>
  </si>
  <si>
    <t xml:space="preserve">Saldo a favor año anterior sin devolución</t>
  </si>
  <si>
    <t xml:space="preserve">Casilla 137 de 2024.</t>
  </si>
  <si>
    <t xml:space="preserve">132</t>
  </si>
  <si>
    <t xml:space="preserve">Retenciones año gravable a declarar</t>
  </si>
  <si>
    <t xml:space="preserve">Arts. 365 y ss.</t>
  </si>
  <si>
    <t xml:space="preserve">Anticipo — opción impuesto actual</t>
  </si>
  <si>
    <t xml:space="preserve">Anticipo — opción promedio dos años</t>
  </si>
  <si>
    <t xml:space="preserve">133</t>
  </si>
  <si>
    <t xml:space="preserve">Anticipo renta año siguiente (menor de las dos opciones)</t>
  </si>
  <si>
    <t xml:space="preserve">134</t>
  </si>
  <si>
    <t xml:space="preserve">Saldo a pagar por impuesto</t>
  </si>
  <si>
    <t xml:space="preserve">Mínimo 10 UVT de 2026 si aplica.</t>
  </si>
  <si>
    <t xml:space="preserve">Arts. 639-641</t>
  </si>
  <si>
    <t xml:space="preserve">136</t>
  </si>
  <si>
    <t xml:space="preserve">TOTAL SALDO A PAGAR</t>
  </si>
  <si>
    <t xml:space="preserve">137</t>
  </si>
  <si>
    <t xml:space="preserve">TOTAL SALDO A FAVOR</t>
  </si>
  <si>
    <t xml:space="preserve">Pagó de más: devolución/compensación o arrastre a 2026.</t>
  </si>
  <si>
    <t xml:space="preserve">Arts. 850-855</t>
  </si>
  <si>
    <t xml:space="preserve">138</t>
  </si>
  <si>
    <t xml:space="preserve">Número de dependientes económicos</t>
  </si>
  <si>
    <t xml:space="preserve">Adición por dependientes a la casilla 92 (72 UVT c/u)</t>
  </si>
  <si>
    <t xml:space="preserve">FUERA del límite del 40%; tope: rentas líquidas de trabajo (regla Q53 del AyudaRenta).</t>
  </si>
  <si>
    <t xml:space="preserve">Art. 336 num. 3 inc. 2</t>
  </si>
  <si>
    <t xml:space="preserve">140</t>
  </si>
  <si>
    <t xml:space="preserve">¿Superó tope indicativo de costos 60%? (X)</t>
  </si>
  <si>
    <t xml:space="preserve">Art. 336-1</t>
  </si>
  <si>
    <t xml:space="preserve">Aporte voluntario</t>
  </si>
  <si>
    <t xml:space="preserve">Art. 244-1</t>
  </si>
  <si>
    <t xml:space="preserve">PAGO</t>
  </si>
  <si>
    <t xml:space="preserve">980</t>
  </si>
  <si>
    <t xml:space="preserve">PAGO TOTAL con este formulario</t>
  </si>
  <si>
    <t xml:space="preserve">MOTOR EXACTO — la misma cadena de cálculo SIN redondeo a miles (trazabilidad al peso)</t>
  </si>
  <si>
    <t xml:space="preserve">Capa analítica: valores antes de la aproximación del art. 577. Aquí se ve el efecto de $1 en las entradas. No se transcribe al MUISCA.</t>
  </si>
  <si>
    <t xml:space="preserve">EL LÍMITE DEL 40% / 1.340 UVT — la regla que más define el impuesto de la cédula general</t>
  </si>
  <si>
    <t xml:space="preserve">Todas las rentas exentas y deducciones de la cédula general compiten por un solo techo: 40% del ingreso neto, máximo 1.340 UVT ($66.731.000). Fuera del techo solo quedan: 72 UVT por dependiente (c.139), 1% de facturas (c.28) y exenciones especiales (E-21).</t>
  </si>
  <si>
    <t xml:space="preserve">PASO 1 — Base: ingresos de la cédula general (+ECE) menos INCRNGO</t>
  </si>
  <si>
    <t xml:space="preserve">Art. 336 num. 1-2. Los costos NO se restan de la base.</t>
  </si>
  <si>
    <t xml:space="preserve">PASO 2 — Techo: el MENOR entre 40% de la base y 1.340 UVT</t>
  </si>
  <si>
    <t xml:space="preserve">En este ejemplo el techo NO está copado: los beneficios pedidos caben completos.</t>
  </si>
  <si>
    <t xml:space="preserve">PASO 3 — Lo que usted pide (AFC + 25% + intereses + salud + dep. 387)</t>
  </si>
  <si>
    <t xml:space="preserve">Suma de exentas y deducciones sujetas al límite.</t>
  </si>
  <si>
    <t xml:space="preserve">PASO 4 — Lo que la ley ACEPTA (casillas 41+53+69+86)</t>
  </si>
  <si>
    <t xml:space="preserve">Asignación en cascada: trabajo → honorarios → capital → no laborales.</t>
  </si>
  <si>
    <t xml:space="preserve">RECORTE: beneficios pedidos que el límite eliminó</t>
  </si>
  <si>
    <t xml:space="preserve">Si es &gt; 0, conseguir más certificados de estos rubros NO baja su impuesto.</t>
  </si>
  <si>
    <t xml:space="preserve">PASO 5 — Beneficios FUERA del límite (c.28 + c.139 + E-21)</t>
  </si>
  <si>
    <t xml:space="preserve">Los únicos que siguen sumando cuando el techo se copa.</t>
  </si>
  <si>
    <t xml:space="preserve">Uso del límite</t>
  </si>
  <si>
    <t xml:space="preserve">Porcentaje del techo consumido.</t>
  </si>
  <si>
    <t xml:space="preserve">PASO 7 · CONTROLES DE CALIDAD Y DECISIÓN DE PRESENTACIÓN</t>
  </si>
  <si>
    <t xml:space="preserve">Un resultado calculado NO es un resultado presentable. Cierre los controles críticos antes de transcribir al MUISCA.</t>
  </si>
  <si>
    <t xml:space="preserve">Resultado</t>
  </si>
  <si>
    <t xml:space="preserve">Severidad</t>
  </si>
  <si>
    <t xml:space="preserve">Evidencia</t>
  </si>
  <si>
    <t xml:space="preserve">Acción requerida</t>
  </si>
  <si>
    <t xml:space="preserve">Residencia fiscal (aplica Formulario 210)</t>
  </si>
  <si>
    <t xml:space="preserve">Crítica</t>
  </si>
  <si>
    <t xml:space="preserve">03_PERFIL B16</t>
  </si>
  <si>
    <t xml:space="preserve">Si no es residente, use el 110</t>
  </si>
  <si>
    <t xml:space="preserve">Identidad completa contra el RUT</t>
  </si>
  <si>
    <t xml:space="preserve">AyudaRenta 2024</t>
  </si>
  <si>
    <t xml:space="preserve">Verifique nombre, DV y seccional en el RUT</t>
  </si>
  <si>
    <t xml:space="preserve">Obligado a declarar</t>
  </si>
  <si>
    <t xml:space="preserve">Informativa</t>
  </si>
  <si>
    <t xml:space="preserve">Arts. 592-594-3; exógena (movimientos $95.000.000)</t>
  </si>
  <si>
    <t xml:space="preserve">Debe declarar</t>
  </si>
  <si>
    <t xml:space="preserve">Firma de contador</t>
  </si>
  <si>
    <t xml:space="preserve">Art. 596</t>
  </si>
  <si>
    <t xml:space="preserve">Fecha prevista dentro del plazo</t>
  </si>
  <si>
    <t xml:space="preserve">03_PERFIL B25 vs B10</t>
  </si>
  <si>
    <t xml:space="preserve">Presente a más tardar el 26/10/2026</t>
  </si>
  <si>
    <t xml:space="preserve">Coherencia patrimonial (arts. 236-239)</t>
  </si>
  <si>
    <t xml:space="preserve">Capacidad de la renta vs Δ patrimonio líquido</t>
  </si>
  <si>
    <t xml:space="preserve">Si no justifica, hay ingreso omitido o patrimonio mal valorado</t>
  </si>
  <si>
    <t xml:space="preserve">136 y 137 excluyentes</t>
  </si>
  <si>
    <t xml:space="preserve">Casos especiales fuera de alcance en cero</t>
  </si>
  <si>
    <t xml:space="preserve">ECE, pérdidas, activos omitidos, div. exterior</t>
  </si>
  <si>
    <t xml:space="preserve">Paridad Python (QA) vigente</t>
  </si>
  <si>
    <t xml:space="preserve">Hoja 13_QA</t>
  </si>
  <si>
    <t xml:space="preserve">Corra validar.py tras cualquier cambio</t>
  </si>
  <si>
    <t xml:space="preserve">Fronteras de tarifa correctas en este libro</t>
  </si>
  <si>
    <t xml:space="preserve">13_QA filas 12-34</t>
  </si>
  <si>
    <t xml:space="preserve">Si falla, no use el archivo</t>
  </si>
  <si>
    <t xml:space="preserve">Clasificación de los honorarios (¿con o sin costos?)</t>
  </si>
  <si>
    <t xml:space="preserve">Alta</t>
  </si>
  <si>
    <t xml:space="preserve">Cuenta de cobro CLIENTE DEMO</t>
  </si>
  <si>
    <t xml:space="preserve">Si hubo costos reales, reclasifique a c.43 (pierde el 25% sobre ese ingreso)</t>
  </si>
  <si>
    <t xml:space="preserve">Soporte del arriendo (contrato + consignaciones)</t>
  </si>
  <si>
    <t xml:space="preserve">Media</t>
  </si>
  <si>
    <t xml:space="preserve">04_INGRESOS fila 15</t>
  </si>
  <si>
    <t xml:space="preserve">El arriendo no aparece en exógena: su soporte es el contrato</t>
  </si>
  <si>
    <t xml:space="preserve">Cruce retenciones vs certificados</t>
  </si>
  <si>
    <t xml:space="preserve">220 + certificados bancarios</t>
  </si>
  <si>
    <t xml:space="preserve">Cruce ingresos de trabajo vs 220</t>
  </si>
  <si>
    <t xml:space="preserve">Salarios + prestaciones + honorarios sin costos</t>
  </si>
  <si>
    <t xml:space="preserve">DICTAMEN AUTOMÁTICO</t>
  </si>
  <si>
    <t xml:space="preserve">Controles con BLOQUEO / FALTA / ERROR / FUERA DE PLAZO / INVESTIGAR</t>
  </si>
  <si>
    <t xml:space="preserve">Controles con REVISAR / ESTIMADO / PENDIENTE / VERIFICAR / DECISIÓN / DISMINUCIÓN</t>
  </si>
  <si>
    <t xml:space="preserve">ESTADO</t>
  </si>
  <si>
    <t xml:space="preserve">Calculadora de sanción por extemporaneidad: meses (o fracción) de retraso →</t>
  </si>
  <si>
    <t xml:space="preserve">Sanción estimada (5%/mes del impuesto a cargo, máx. 100%, mínimo 10 UVT 2026)</t>
  </si>
  <si>
    <t xml:space="preserve">QA — PRUEBAS EMBEBIDAS Y RESULTADO DEL AUDITOR EXTERNO</t>
  </si>
  <si>
    <t xml:space="preserve">1. Resultado de la validación externa (péguelo tras cada corrida)</t>
  </si>
  <si>
    <t xml:space="preserve">Fecha y estado de la última auditoría Python</t>
  </si>
  <si>
    <t xml:space="preserve">PENDIENTE — ejecute scripts/validar.py</t>
  </si>
  <si>
    <t xml:space="preserve">Regla: si cambió CUALQUIER entrada o fórmula después de esa fecha, vuelva a correr la validación antes de presentar.</t>
  </si>
  <si>
    <t xml:space="preserve">Estado usado por 12_CONTROLES</t>
  </si>
  <si>
    <t xml:space="preserve">Fronteras con FALLA (de la sección 2)</t>
  </si>
  <si>
    <t xml:space="preserve">2. Fronteras de la tarifa art. 241 — el libro se prueba a sí mismo</t>
  </si>
  <si>
    <t xml:space="preserve">Cada fila aplica la MISMA fórmula de tarifa del libro a una base de prueba y la compara con el valor esperado (calculado de forma independiente en Python con Decimal).</t>
  </si>
  <si>
    <t xml:space="preserve">Caso</t>
  </si>
  <si>
    <t xml:space="preserve">Base (COP)</t>
  </si>
  <si>
    <t xml:space="preserve">Impuesto del libro</t>
  </si>
  <si>
    <t xml:space="preserve">Esperado (Python)</t>
  </si>
  <si>
    <t xml:space="preserve">Veredicto</t>
  </si>
  <si>
    <t xml:space="preserve">base 1089.99 UVT</t>
  </si>
  <si>
    <t xml:space="preserve">base 1090 UVT</t>
  </si>
  <si>
    <t xml:space="preserve">base 1090.01 UVT</t>
  </si>
  <si>
    <t xml:space="preserve">base 1699.99 UVT</t>
  </si>
  <si>
    <t xml:space="preserve">base 1700 UVT</t>
  </si>
  <si>
    <t xml:space="preserve">base 1700.01 UVT</t>
  </si>
  <si>
    <t xml:space="preserve">base 4099.99 UVT</t>
  </si>
  <si>
    <t xml:space="preserve">base 4100 UVT</t>
  </si>
  <si>
    <t xml:space="preserve">base 4100.01 UVT</t>
  </si>
  <si>
    <t xml:space="preserve">base 8669.99 UVT</t>
  </si>
  <si>
    <t xml:space="preserve">base 8670 UVT</t>
  </si>
  <si>
    <t xml:space="preserve">base 8670.01 UVT</t>
  </si>
  <si>
    <t xml:space="preserve">base 18969.99 UVT</t>
  </si>
  <si>
    <t xml:space="preserve">base 18970 UVT</t>
  </si>
  <si>
    <t xml:space="preserve">base 18970.01 UVT</t>
  </si>
  <si>
    <t xml:space="preserve">base 30999.99 UVT</t>
  </si>
  <si>
    <t xml:space="preserve">base 31000 UVT</t>
  </si>
  <si>
    <t xml:space="preserve">base 31000.01 UVT</t>
  </si>
  <si>
    <t xml:space="preserve">base 500 UVT</t>
  </si>
  <si>
    <t xml:space="preserve">base 2500.37 UVT</t>
  </si>
  <si>
    <t xml:space="preserve">base 12000.5 UVT</t>
  </si>
  <si>
    <t xml:space="preserve">base 50000 UVT</t>
  </si>
  <si>
    <t xml:space="preserve">base 3603.72 UVT</t>
  </si>
  <si>
    <t xml:space="preserve">3. Nota metodológica</t>
  </si>
  <si>
    <t xml:space="preserve">Convención: base en UVT truncada a 2 decimales; producto marginal truncado a 2 decimales con épsilon 1E-9 (blindaje contra coma flotante binaria de Excel); resultado al múltiplo de mil (art. 577). Es la convención del AyudaRenta oficial.</t>
  </si>
  <si>
    <t xml:space="preserve">SOPORTES — CARPETA DOCUMENTAL (consérvelos mínimo 5 años)</t>
  </si>
  <si>
    <t xml:space="preserve">N.º</t>
  </si>
  <si>
    <t xml:space="preserve">Documento</t>
  </si>
  <si>
    <t xml:space="preserve">Estado (edite)</t>
  </si>
  <si>
    <t xml:space="preserve">Criticidad</t>
  </si>
  <si>
    <t xml:space="preserve">Para qué se usa</t>
  </si>
  <si>
    <t xml:space="preserve">Acción</t>
  </si>
  <si>
    <t xml:space="preserve">RUT actualizado</t>
  </si>
  <si>
    <t xml:space="preserve">FALTA</t>
  </si>
  <si>
    <t xml:space="preserve">Identidad y responsabilidades</t>
  </si>
  <si>
    <t xml:space="preserve">Descargar de la DIAN</t>
  </si>
  <si>
    <t xml:space="preserve">Declaración del año anterior (PDF presentado)</t>
  </si>
  <si>
    <t xml:space="preserve">Saldos de arrastre e histórico</t>
  </si>
  <si>
    <t xml:space="preserve">Descargar con constancia</t>
  </si>
  <si>
    <t xml:space="preserve">Información exógena del año gravable</t>
  </si>
  <si>
    <t xml:space="preserve">Conciliación por tercero</t>
  </si>
  <si>
    <t xml:space="preserve">Descargar del MUISCA</t>
  </si>
  <si>
    <t xml:space="preserve">Certificado 220 y certificados bancarios de rendimientos/retenciones</t>
  </si>
  <si>
    <t xml:space="preserve">Ingresos y casilla 132</t>
  </si>
  <si>
    <t xml:space="preserve">Pedir a cada entidad</t>
  </si>
  <si>
    <t xml:space="preserve">Certificados de saldos, créditos, AFC, medicina, dependientes</t>
  </si>
  <si>
    <t xml:space="preserve">Patrimonio y beneficios</t>
  </si>
  <si>
    <t xml:space="preserve">Marque "OK" en la columna C cuando tenga el documento. Regla de oro: sin soporte, el valor no se declara (art. 786 E.T. — la carga de la prueba es suya).</t>
  </si>
  <si>
    <t xml:space="preserve">INFORMACIÓN EXÓGENA 2025 — COPIA DE REFERENCIA (no editar; no es certificado)</t>
  </si>
  <si>
    <t xml:space="preserve">NIT reporta</t>
  </si>
  <si>
    <t xml:space="preserve">Quién reporta</t>
  </si>
  <si>
    <t xml:space="preserve">Uso sugerido DIAN</t>
  </si>
  <si>
    <t xml:space="preserve">Empresa Ejemplo S.A.S. (empleador)</t>
  </si>
  <si>
    <t xml:space="preserve">Pagos por salarios (2276)</t>
  </si>
  <si>
    <t xml:space="preserve">R32</t>
  </si>
  <si>
    <t xml:space="preserve">Empresa Ejemplo S.A.S.</t>
  </si>
  <si>
    <t xml:space="preserve">Retención rentas de trabajo</t>
  </si>
  <si>
    <t xml:space="preserve">R132</t>
  </si>
  <si>
    <t xml:space="preserve">Aportes obligatorios salud/pensión</t>
  </si>
  <si>
    <t xml:space="preserve">R33</t>
  </si>
  <si>
    <t xml:space="preserve">Aportes a cuentas AFC (220 c.57)</t>
  </si>
  <si>
    <t xml:space="preserve">R35</t>
  </si>
  <si>
    <t xml:space="preserve">Banco Modelo</t>
  </si>
  <si>
    <t xml:space="preserve">Intereses y rendimientos (5063)</t>
  </si>
  <si>
    <t xml:space="preserve">R58</t>
  </si>
  <si>
    <t xml:space="preserve">Saldo cuentas (Titular)</t>
  </si>
  <si>
    <t xml:space="preserve">R29</t>
  </si>
  <si>
    <t xml:space="preserve">800197268</t>
  </si>
  <si>
    <t xml:space="preserve">DIAN</t>
  </si>
  <si>
    <t xml:space="preserve">Facturación electrónica susceptible de beneficio</t>
  </si>
  <si>
    <t xml:space="preserve">Casilla 28 (1%)</t>
  </si>
  <si>
    <t xml:space="preserve">NOTA</t>
  </si>
  <si>
    <t xml:space="preserve">El arriendo NO aparece en exógena (arrendatario persona natural no reporta)</t>
  </si>
  <si>
    <t xml:space="preserve">R58 igual se declara</t>
  </si>
  <si>
    <t xml:space="preserve">Topes DIAN de ejemplo (ficticios): ingresos $182.000.000 · patrimonio $278.000.000 · movimientos $95.000.000 · compras $20.000.000. La exógena es orientativa: la declaración debe reflejar la realidad económica con soportes. La exógena es orientativa: la declaración debe reflejar su realidad económica (advertencia de la propia DIAN).</t>
  </si>
  <si>
    <t xml:space="preserve">PARÁMETROS TRIBUTARIOS — AÑO GRAVABLE 2025 (edite solo si cambia el año o la norma)</t>
  </si>
  <si>
    <t xml:space="preserve">Cada valor con su norma. El resto del libro se recalcula desde aquí.</t>
  </si>
  <si>
    <t xml:space="preserve">PLAZOS 2026</t>
  </si>
  <si>
    <t xml:space="preserve">Código</t>
  </si>
  <si>
    <t xml:space="preserve">Parámetro</t>
  </si>
  <si>
    <t xml:space="preserve">Unidad</t>
  </si>
  <si>
    <t xml:space="preserve">Fuente / norma</t>
  </si>
  <si>
    <t xml:space="preserve">Term.</t>
  </si>
  <si>
    <t xml:space="preserve">UVT_AG</t>
  </si>
  <si>
    <t xml:space="preserve">UVT año gravable 2025</t>
  </si>
  <si>
    <t xml:space="preserve">COP</t>
  </si>
  <si>
    <t xml:space="preserve">Resolución DIAN 000193 de 2024</t>
  </si>
  <si>
    <t xml:space="preserve">Dcto. 2229/2023 art. 1.6.1.13.2.15</t>
  </si>
  <si>
    <t xml:space="preserve">UVT_PRES</t>
  </si>
  <si>
    <t xml:space="preserve">UVT año de presentación 2026</t>
  </si>
  <si>
    <t xml:space="preserve">Resolución DIAN 000238 de 2025</t>
  </si>
  <si>
    <t xml:space="preserve">LIM_GLOBAL</t>
  </si>
  <si>
    <t xml:space="preserve">Límite conjunto exentas + deducciones (además del 40%)</t>
  </si>
  <si>
    <t xml:space="preserve">UVT</t>
  </si>
  <si>
    <t xml:space="preserve">Art. 336 num. 3 E.T.</t>
  </si>
  <si>
    <t xml:space="preserve">LIM_25</t>
  </si>
  <si>
    <t xml:space="preserve">Tope renta exenta laboral del 25%</t>
  </si>
  <si>
    <t xml:space="preserve">Art. 206 num. 10 E.T.</t>
  </si>
  <si>
    <t xml:space="preserve">LIM_AFC</t>
  </si>
  <si>
    <t xml:space="preserve">Tope AFC + FVP + AVC (y 30% del ingreso del año)</t>
  </si>
  <si>
    <t xml:space="preserve">Arts. 126-1 y 126-4 E.T.</t>
  </si>
  <si>
    <t xml:space="preserve">LIM_VIV</t>
  </si>
  <si>
    <t xml:space="preserve">Intereses de vivienda (tope anual conjunto)</t>
  </si>
  <si>
    <t xml:space="preserve">Art. 119 E.T.</t>
  </si>
  <si>
    <t xml:space="preserve">LIM_ICETEX</t>
  </si>
  <si>
    <t xml:space="preserve">Art. 119 inc. 3 E.T.</t>
  </si>
  <si>
    <t xml:space="preserve">LIM_SALUD_MES</t>
  </si>
  <si>
    <t xml:space="preserve">Medicina prepagada (por mes)</t>
  </si>
  <si>
    <t xml:space="preserve">UVT/mes</t>
  </si>
  <si>
    <t xml:space="preserve">Art. 387 E.T.</t>
  </si>
  <si>
    <t xml:space="preserve">LIM_DEP_MES</t>
  </si>
  <si>
    <t xml:space="preserve">Dependientes art. 387 (por mes)</t>
  </si>
  <si>
    <t xml:space="preserve">Art. 387 inc. 2 E.T.</t>
  </si>
  <si>
    <t xml:space="preserve">DEP_ADIC</t>
  </si>
  <si>
    <t xml:space="preserve">Dependiente adicional fuera del límite</t>
  </si>
  <si>
    <t xml:space="preserve">UVT/año</t>
  </si>
  <si>
    <t xml:space="preserve">Art. 336 num. 3 inc. 2 E.T.</t>
  </si>
  <si>
    <t xml:space="preserve">MAX_DEP</t>
  </si>
  <si>
    <t xml:space="preserve">Máximo dependientes de 72 UVT</t>
  </si>
  <si>
    <t xml:space="preserve">pers.</t>
  </si>
  <si>
    <t xml:space="preserve">LIM_FE</t>
  </si>
  <si>
    <t xml:space="preserve">Compras con factura electrónica (1%)</t>
  </si>
  <si>
    <t xml:space="preserve">Art. 336 num. 5 E.T.</t>
  </si>
  <si>
    <t xml:space="preserve">SANC_MIN</t>
  </si>
  <si>
    <t xml:space="preserve">Sanción mínima (UVT del año de presentación)</t>
  </si>
  <si>
    <t xml:space="preserve">Art. 639 E.T.</t>
  </si>
  <si>
    <t xml:space="preserve">TOPE_PAT</t>
  </si>
  <si>
    <t xml:space="preserve">Obligado a declarar por patrimonio</t>
  </si>
  <si>
    <t xml:space="preserve">Art. 592 E.T.</t>
  </si>
  <si>
    <t xml:space="preserve">TOPE_ING</t>
  </si>
  <si>
    <t xml:space="preserve">Obligado por ingresos / compras / consignaciones</t>
  </si>
  <si>
    <t xml:space="preserve">Arts. 593 y 594-3 E.T.</t>
  </si>
  <si>
    <t xml:space="preserve">TOPE_CONT</t>
  </si>
  <si>
    <t xml:space="preserve">Firma de contador público</t>
  </si>
  <si>
    <t xml:space="preserve">Art. 596 E.T.</t>
  </si>
  <si>
    <t xml:space="preserve">COMP_INF</t>
  </si>
  <si>
    <t xml:space="preserve">Componente inflacionario de rendimientos AG2025</t>
  </si>
  <si>
    <t xml:space="preserve">%</t>
  </si>
  <si>
    <t xml:space="preserve">Decreto 898 de 2026; arts. 38 y 40-1 E.T.</t>
  </si>
  <si>
    <t xml:space="preserve">TAR_GO</t>
  </si>
  <si>
    <t xml:space="preserve">Tarifa ganancia ocasional general</t>
  </si>
  <si>
    <t xml:space="preserve">Art. 314 E.T.</t>
  </si>
  <si>
    <t xml:space="preserve">TAR_LOT</t>
  </si>
  <si>
    <t xml:space="preserve">Tarifa loterías, rifas y apuestas</t>
  </si>
  <si>
    <t xml:space="preserve">Art. 317 E.T.</t>
  </si>
  <si>
    <t xml:space="preserve">TAR_DIV2</t>
  </si>
  <si>
    <t xml:space="preserve">Tarifa previa dividendos 2.ª subcédula</t>
  </si>
  <si>
    <t xml:space="preserve">Art. 240 E.T.</t>
  </si>
  <si>
    <t xml:space="preserve">REN_PRE</t>
  </si>
  <si>
    <t xml:space="preserve">Tarifa renta presuntiva</t>
  </si>
  <si>
    <t xml:space="preserve">Art. 188 E.T. (0% desde 2021)</t>
  </si>
  <si>
    <t xml:space="preserve">COMP_INF_GTO</t>
  </si>
  <si>
    <t xml:space="preserve">Componente inflacionario de costos financieros (no deducible)</t>
  </si>
  <si>
    <t xml:space="preserve">Decreto 898 de 2026; arts. 81 y 118 E.T.</t>
  </si>
  <si>
    <t xml:space="preserve">LIM_RAIS</t>
  </si>
  <si>
    <t xml:space="preserve">Cotización voluntaria RAIS (y 25% del ingreso)</t>
  </si>
  <si>
    <t xml:space="preserve">Art. 55 E.T.</t>
  </si>
  <si>
    <t xml:space="preserve">TABLA DEL ARTÍCULO 241 E.T. (cédulas general + pensiones + dividendos 1.ª subcédula)</t>
  </si>
  <si>
    <t xml:space="preserve">Tramo</t>
  </si>
  <si>
    <t xml:space="preserve">Desde UVT</t>
  </si>
  <si>
    <t xml:space="preserve">Hasta UVT</t>
  </si>
  <si>
    <t xml:space="preserve">Tarifa</t>
  </si>
  <si>
    <t xml:space="preserve">Suma fija UVT</t>
  </si>
  <si>
    <t xml:space="preserve">TABLA HISTÓRICA — DIVIDENDOS DE 2016 Y ANTERIORES (régimen de transición)</t>
  </si>
  <si>
    <t xml:space="preserve">CESANTÍAS — PARTE NO GRAVADA SEGÚN SALARIO PROMEDIO 6 MESES (instructivo casilla 36, num. 4)</t>
  </si>
  <si>
    <t xml:space="preserve">% no gravado</t>
  </si>
  <si>
    <t xml:space="preserve">OTROS PARÁMETROS DE CONTROL</t>
  </si>
  <si>
    <t xml:space="preserve">Beneficio de auditoría: impuesto neto mínimo del año anterior (71 UVT de 2024)</t>
  </si>
  <si>
    <t xml:space="preserve">Art. 689-3 E.T. (UVT 2024 = $47.065)</t>
  </si>
  <si>
    <t xml:space="preserve">GO exenta por venta de casa de habitación (con requisitos AFC)</t>
  </si>
  <si>
    <t xml:space="preserve">Art. 311-1 E.T. (5.000 UVT)</t>
  </si>
  <si>
    <t xml:space="preserve">MATRIZ DE DECISIONES — QUÉ CAMBIÓ EN v4 Y POR QUÉ (jerarquía de evidencia)</t>
  </si>
  <si>
    <t xml:space="preserve">Cada decisión se tomó por evidencia documental: instructivo oficial &gt; AyudaRenta oficial &gt; declaración presentada &gt; exógena &gt; estimación. Nada se eligió por conveniencia numérica. Las decisiones v1/v2/v3 previas se conservan en el archivo v3.</t>
  </si>
  <si>
    <t xml:space="preserve">Tema</t>
  </si>
  <si>
    <t xml:space="preserve">Versión anterior (v3)</t>
  </si>
  <si>
    <t xml:space="preserve">Evidencia nueva</t>
  </si>
  <si>
    <t xml:space="preserve">DECISIÓN v4</t>
  </si>
  <si>
    <t xml:space="preserve">Norma / soporte</t>
  </si>
  <si>
    <t xml:space="preserve">Arriendo del apartaestudio</t>
  </si>
  <si>
    <t xml:space="preserve">¿Capital o no laboral?</t>
  </si>
  <si>
    <t xml:space="preserve">El arrendamiento de inmuebles es renta de capital (art. 335), aunque no aparezca en exógena o la DIAN sugiera otra casilla</t>
  </si>
  <si>
    <t xml:space="preserve">Casilla 58, con contrato y consignaciones como soporte</t>
  </si>
  <si>
    <t xml:space="preserve">Art. 335 E.T.</t>
  </si>
  <si>
    <t xml:space="preserve">Apartamento compartido</t>
  </si>
  <si>
    <t xml:space="preserve">¿Qué valor declarar?</t>
  </si>
  <si>
    <t xml:space="preserve">Avalúo total $320M × 50% = $160M vs costo fiscal de su 50% = $180M</t>
  </si>
  <si>
    <t xml:space="preserve">Se declara el MAYOR: $180.000.000</t>
  </si>
  <si>
    <t xml:space="preserve">Art. 277 E.T.</t>
  </si>
  <si>
    <t xml:space="preserve">Crédito hipotecario compartido</t>
  </si>
  <si>
    <t xml:space="preserve">¿Deuda completa o la mitad?</t>
  </si>
  <si>
    <t xml:space="preserve">El certificado muestra el saldo TOTAL del crédito con dos codeudores</t>
  </si>
  <si>
    <t xml:space="preserve">Cada codeudor declara su 50% ($60M) y deduce el 50% de los intereses ($4M)</t>
  </si>
  <si>
    <t xml:space="preserve">Arts. 119 y 283 E.T.</t>
  </si>
  <si>
    <t xml:space="preserve">GLOSARIO — CADA TÉRMINO EN PALABRAS SIMPLES Y EN PRECISIÓN TÉCNICA</t>
  </si>
  <si>
    <t xml:space="preserve">Término</t>
  </si>
  <si>
    <t xml:space="preserve">Precisión técnica y norma</t>
  </si>
  <si>
    <t xml:space="preserve">Año gravable / UVT</t>
  </si>
  <si>
    <t xml:space="preserve">El año de los ingresos que declara (2025). La UVT es la 'unidad de medida' de todos los topes.</t>
  </si>
  <si>
    <t xml:space="preserve">UVT 2025 = $49.799 (Res. 000193/2024); UVT 2026 = $52.374 (Res. 000238/2025). Topes del año gravable con la primera; sanciones pagadas en 2026 con la segunda.</t>
  </si>
  <si>
    <t xml:space="preserve">Formulario 210</t>
  </si>
  <si>
    <t xml:space="preserve">El formato oficial que llenan las personas naturales residentes.</t>
  </si>
  <si>
    <t xml:space="preserve">Res. DIAN 000044/2024; se diligencia y firma en el MUISCA (Res. 000227/2025: 100% virtual).</t>
  </si>
  <si>
    <t xml:space="preserve">MUISCA</t>
  </si>
  <si>
    <t xml:space="preserve">La página de la DIAN donde se llena y firma la declaración.</t>
  </si>
  <si>
    <t xml:space="preserve">Sistema de la DIAN; el recibo de pago es el Formulario 490.</t>
  </si>
  <si>
    <t xml:space="preserve">Su 'cédula tributaria': ahí están su NIT, actividad y responsabilidades.</t>
  </si>
  <si>
    <t xml:space="preserve">Registro Único Tributario (art. 555-2 E.T.).</t>
  </si>
  <si>
    <t xml:space="preserve">Exógena</t>
  </si>
  <si>
    <t xml:space="preserve">Lo que los bancos, empleadores y demás le contaron a la DIAN sobre usted.</t>
  </si>
  <si>
    <t xml:space="preserve">Información de terceros (arts. 631 y ss.). Es orientativa: prevalece su realidad económica con soportes.</t>
  </si>
  <si>
    <t xml:space="preserve">Cada número del formulario (c.29, c.32…). Este archivo calcula todas.</t>
  </si>
  <si>
    <t xml:space="preserve">Numeración oficial del instructivo del 210.</t>
  </si>
  <si>
    <t xml:space="preserve">Cédula general</t>
  </si>
  <si>
    <t xml:space="preserve">La 'canasta' donde se suman trabajo, capital y no laborales.</t>
  </si>
  <si>
    <t xml:space="preserve">Arts. 330-336 E.T.; cada tipo de renta se depura por subcédula.</t>
  </si>
  <si>
    <t xml:space="preserve">INCRNGO</t>
  </si>
  <si>
    <t xml:space="preserve">Ingresos que la ley saca de la base ANTES de calcular (no pagan impuesto).</t>
  </si>
  <si>
    <t xml:space="preserve">Ingreso No Constitutivo de Renta ni Ganancia Ocasional: aportes obligatorios a salud/pensión (arts. 55-56), componente inflacionario (arts. 38-41).</t>
  </si>
  <si>
    <t xml:space="preserve">Renta exenta / deducción / descuento</t>
  </si>
  <si>
    <t xml:space="preserve">Tres formas de pagar menos: las dos primeras restan de la BASE; el descuento resta del IMPUESTO (vale más).</t>
  </si>
  <si>
    <t xml:space="preserve">Exentas y deducciones: casillas 35-39; descuentos: 122-124 (límite art. 259).</t>
  </si>
  <si>
    <t xml:space="preserve">Límite 40% / 1.340 UVT</t>
  </si>
  <si>
    <t xml:space="preserve">El techo que junta casi todos los beneficios: por más papeles que consiga, no pasa de ahí.</t>
  </si>
  <si>
    <t xml:space="preserve">Art. 336 num. 3. Por fuera: 72 UVT por dependiente, 1% de facturas, RAIS voluntario (INCRNGO) y exenciones especiales.</t>
  </si>
  <si>
    <t xml:space="preserve">Renta exenta del 25%</t>
  </si>
  <si>
    <t xml:space="preserve">La cuarta parte del salario depurado no paga impuesto.</t>
  </si>
  <si>
    <t xml:space="preserve">Art. 206 num. 10; tope 790 UVT; NO aplica sobre cesantías (instructivo c.36).</t>
  </si>
  <si>
    <t xml:space="preserve">Cesantías</t>
  </si>
  <si>
    <t xml:space="preserve">Se declaran cuando se pagan o consignan; tienen SU PROPIA exención.</t>
  </si>
  <si>
    <t xml:space="preserve">Art. 206 num. 4: tabla según salario promedio de 6 meses (en 16_PARAMETROS).</t>
  </si>
  <si>
    <t xml:space="preserve">AFC / FVP / AVC</t>
  </si>
  <si>
    <t xml:space="preserve">Cuentas de ahorro con beneficio si el dinero va a vivienda o se queda 10 años.</t>
  </si>
  <si>
    <t xml:space="preserve">Arts. 126-1/126-4; tope conjunto 30% del ingreso y 3.800 UVT.</t>
  </si>
  <si>
    <t xml:space="preserve">Componente inflacionario</t>
  </si>
  <si>
    <t xml:space="preserve">La parte de los intereses que solo compensa la inflación: no paga impuesto.</t>
  </si>
  <si>
    <t xml:space="preserve">55,43% de los rendimientos brutos AG2025 no gravado; espejo: 28,35% de los costos financieros no deducible (Dcto. 898/2026).</t>
  </si>
  <si>
    <t xml:space="preserve">Dependiente económico</t>
  </si>
  <si>
    <t xml:space="preserve">Familiar que vive de usted; da DOS rebajas si usted tiene salario.</t>
  </si>
  <si>
    <t xml:space="preserve">Art. 387 (32 UVT/mes) + art. 336-3 (72 UVT/año, fuera del límite); ambas exigen renta laboral (DUR 1.2.1.20.3).</t>
  </si>
  <si>
    <t xml:space="preserve">Patrimonio bruto / líquido</t>
  </si>
  <si>
    <t xml:space="preserve">Todo lo que tiene a 31/12 / lo mismo menos las deudas.</t>
  </si>
  <si>
    <t xml:space="preserve">Arts. 261-282; inmuebles al MAYOR entre costo fiscal y avalúo (art. 277); deudas con soporte de fecha cierta (arts. 283, 767, 770).</t>
  </si>
  <si>
    <t xml:space="preserve">Avalúo catastral vs costo fiscal</t>
  </si>
  <si>
    <t xml:space="preserve">El valor del predial vs lo que le costó (con ajustes). Se declara el MAYOR.</t>
  </si>
  <si>
    <t xml:space="preserve">Art. 277 E.T. (no obligados a contabilidad).</t>
  </si>
  <si>
    <t xml:space="preserve">Comparación patrimonial</t>
  </si>
  <si>
    <t xml:space="preserve">Si su patrimonio creció más de lo que sus rentas explican, la DIAN grava la diferencia.</t>
  </si>
  <si>
    <t xml:space="preserve">Arts. 236-239. Una DISMINUCIÓN no genera renta, pero conviene poder explicarla.</t>
  </si>
  <si>
    <t xml:space="preserve">Retención en la fuente</t>
  </si>
  <si>
    <t xml:space="preserve">Impuesto que le descontaron por adelantado durante el año.</t>
  </si>
  <si>
    <t xml:space="preserve">Arts. 365 y ss.; va en la casilla 132 y se resta del impuesto.</t>
  </si>
  <si>
    <t xml:space="preserve">Anticipo</t>
  </si>
  <si>
    <t xml:space="preserve">Abono obligatorio al impuesto del AÑO SIGUIENTE.</t>
  </si>
  <si>
    <t xml:space="preserve">Art. 807: 25%/50%/75% según años declarando, con opción de promedio; se resta la retención.</t>
  </si>
  <si>
    <t xml:space="preserve">Saldo a favor</t>
  </si>
  <si>
    <t xml:space="preserve">Pagó de más: puede pedir devolución, compensar o arrastrarlo.</t>
  </si>
  <si>
    <t xml:space="preserve">Arts. 850-855 E.T.; SIE de devoluciones de la DIAN.</t>
  </si>
  <si>
    <t xml:space="preserve">Estimado (celda ámbar)</t>
  </si>
  <si>
    <t xml:space="preserve">Valor provisional puesto con la MEJOR evidencia disponible; usted debe reemplazarlo con el certificado.</t>
  </si>
  <si>
    <t xml:space="preserve">Convención de este archivo. El control de 12_CONTROLES no da 'LISTO' mientras existan ámbar sin resolver.</t>
  </si>
  <si>
    <t xml:space="preserve">Corrección de declaraciones</t>
  </si>
  <si>
    <t xml:space="preserve">Arreglar una declaración ya presentada.</t>
  </si>
  <si>
    <t xml:space="preserve">Art. 588 (dentro de los 3 años; si no cambia el impuesto no hay sanción) y art. 589 (si disminuye el saldo a pagar).</t>
  </si>
  <si>
    <t xml:space="preserve">Firmeza</t>
  </si>
  <si>
    <t xml:space="preserve">El plazo tras el cual la DIAN ya no puede revisar la declaración.</t>
  </si>
  <si>
    <t xml:space="preserve">Regla general 3 años (art. 714); beneficio de auditoría 6/12 meses (art. 689-3) si el impuesto crece 35%/25%.</t>
  </si>
  <si>
    <t xml:space="preserve">Beneficio de auditoría</t>
  </si>
  <si>
    <t xml:space="preserve">Su declaración queda 'en firme' más rápido si paga suficientemente más que el año pasado.</t>
  </si>
  <si>
    <t xml:space="preserve">Art. 689-3: firmeza en 6 meses (crecimiento del impuesto neto ≥35%) o 12 meses (≥25%); exige impuesto 2024 ≥ 71 UVT.</t>
  </si>
  <si>
    <t xml:space="preserve">Multas por presentar tarde, con errores o corregir.</t>
  </si>
  <si>
    <t xml:space="preserve">Extemporaneidad 5%/mes (arts. 641-642), mínima 10 UVT 2026 = $524.000 (art. 639); inexactitud 100% (arts. 647-648); corrección 10-20% (art. 644).</t>
  </si>
  <si>
    <t xml:space="preserve">Fuentes oficiales</t>
  </si>
  <si>
    <t xml:space="preserve">Dónde verificar todo lo anterior.</t>
  </si>
  <si>
    <t xml:space="preserve">E.T.: secretariasenado.gov.co/senado/basedoc/estatuto_tributario.html · Micrositio DIAN renta AG2025 · Dcto. 898/2026 · Res. 000044/2024 y 000120/2024 · Dcto. 2229/2023 (plazos).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</si>
</sst>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dd/mm/yyyy"/>
    <numFmt numFmtId="166" formatCode="0"/>
    <numFmt numFmtId="167" formatCode="@"/>
    <numFmt numFmtId="168" formatCode="&quot;$ &quot;#,##0"/>
    <numFmt numFmtId="169" formatCode="&quot;$ &quot;#,##0;[RED]&quot;-$ &quot;#,##0"/>
    <numFmt numFmtId="170" formatCode="00"/>
    <numFmt numFmtId="171" formatCode="#,##0"/>
    <numFmt numFmtId="172" formatCode="0%"/>
    <numFmt numFmtId="173" formatCode="0.00%"/>
    <numFmt numFmtId="174" formatCode="#,##0;[RED]\-#,##0"/>
    <numFmt numFmtId="175" formatCode="#,##0.00"/>
    <numFmt numFmtId="176" formatCode="0.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8"/>
      <color rgb="FFC55A11"/>
      <name val="Arial"/>
      <family val="0"/>
      <charset val="1"/>
    </font>
    <font>
      <b val="true"/>
      <sz val="9"/>
      <color rgb="FF9C0006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9"/>
      <name val="Arial"/>
      <family val="0"/>
      <charset val="1"/>
    </font>
    <font>
      <sz val="8"/>
      <color rgb="FF000000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color rgb="FF000000"/>
      <name val="Arial"/>
      <family val="0"/>
      <charset val="1"/>
    </font>
    <font>
      <sz val="8"/>
      <name val="Arial"/>
      <family val="0"/>
      <charset val="1"/>
    </font>
    <font>
      <b val="true"/>
      <sz val="8"/>
      <color rgb="FF0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D9E2F3"/>
        <bgColor rgb="FFE2EFDA"/>
      </patternFill>
    </fill>
    <fill>
      <patternFill patternType="solid">
        <fgColor rgb="FFEAF1FA"/>
        <bgColor rgb="FFF2F2F2"/>
      </patternFill>
    </fill>
    <fill>
      <patternFill patternType="solid">
        <fgColor rgb="FF2E5395"/>
        <bgColor rgb="FF1F4E79"/>
      </patternFill>
    </fill>
    <fill>
      <patternFill patternType="solid">
        <fgColor rgb="FFFCE4D6"/>
        <bgColor rgb="FFF2F2F2"/>
      </patternFill>
    </fill>
    <fill>
      <patternFill patternType="solid">
        <fgColor rgb="FFF8CBCC"/>
        <bgColor rgb="FFFCE4D6"/>
      </patternFill>
    </fill>
    <fill>
      <patternFill patternType="solid">
        <fgColor rgb="FFE2EFDA"/>
        <bgColor rgb="FFEAF1FA"/>
      </patternFill>
    </fill>
    <fill>
      <patternFill patternType="solid">
        <fgColor rgb="FFFFE699"/>
        <bgColor rgb="FFFCE4D6"/>
      </patternFill>
    </fill>
    <fill>
      <patternFill patternType="solid">
        <fgColor rgb="FF1C6E62"/>
        <bgColor rgb="FF008080"/>
      </patternFill>
    </fill>
    <fill>
      <patternFill patternType="solid">
        <fgColor rgb="FFF2F2F2"/>
        <bgColor rgb="FFEAF1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5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5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5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5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5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6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5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1" fillId="11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11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11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1C6E62"/>
      <rgbColor rgb="FFBFBFBF"/>
      <rgbColor rgb="FF808080"/>
      <rgbColor rgb="FF9999FF"/>
      <rgbColor rgb="FF7030A0"/>
      <rgbColor rgb="FFF2F2F2"/>
      <rgbColor rgb="FFEAF1FA"/>
      <rgbColor rgb="FF660066"/>
      <rgbColor rgb="FFFF8080"/>
      <rgbColor rgb="FF1F4E79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E2EFDA"/>
      <rgbColor rgb="FFFFE699"/>
      <rgbColor rgb="FF99CCFF"/>
      <rgbColor rgb="FFFF99CC"/>
      <rgbColor rgb="FFCC99FF"/>
      <rgbColor rgb="FFF8CBCC"/>
      <rgbColor rgb="FF3366FF"/>
      <rgbColor rgb="FF33CCCC"/>
      <rgbColor rgb="FF99CC00"/>
      <rgbColor rgb="FFFFCC00"/>
      <rgbColor rgb="FFBF8F00"/>
      <rgbColor rgb="FFC55A11"/>
      <rgbColor rgb="FF44546A"/>
      <rgbColor rgb="FF8496B0"/>
      <rgbColor rgb="FF1F3864"/>
      <rgbColor rgb="FF70AD47"/>
      <rgbColor rgb="FF003300"/>
      <rgbColor rgb="FF333300"/>
      <rgbColor rgb="FF993300"/>
      <rgbColor rgb="FF993366"/>
      <rgbColor rgb="FF2E5395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7"/>
    <col collapsed="false" customWidth="true" hidden="false" outlineLevel="0" max="8" min="8" style="0" width="3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53.7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  <c r="B3" s="4" t="n">
        <f aca="false">03_PERFIL!B10</f>
        <v>46321</v>
      </c>
      <c r="C3" s="3" t="s">
        <v>3</v>
      </c>
      <c r="D3" s="5" t="n">
        <f aca="true">03_PERFIL!B10-TODAY()</f>
        <v>49</v>
      </c>
      <c r="E3" s="3" t="s">
        <v>4</v>
      </c>
      <c r="F3" s="6" t="str">
        <f aca="false">12_CONTROLES!B23</f>
        <v>CALCULADO — CIERRE PENDIENTES</v>
      </c>
      <c r="G3" s="6"/>
      <c r="H3" s="6"/>
    </row>
    <row r="5" customFormat="false" ht="15" hidden="false" customHeight="false" outlineLevel="0" collapsed="false">
      <c r="A5" s="7" t="s">
        <v>5</v>
      </c>
      <c r="B5" s="7"/>
      <c r="C5" s="7"/>
      <c r="D5" s="7"/>
      <c r="E5" s="7"/>
      <c r="F5" s="7"/>
      <c r="G5" s="7"/>
      <c r="H5" s="7"/>
    </row>
    <row r="6" customFormat="false" ht="15" hidden="false" customHeight="true" outlineLevel="0" collapsed="false">
      <c r="A6" s="8" t="s">
        <v>6</v>
      </c>
      <c r="B6" s="8"/>
      <c r="C6" s="8" t="s">
        <v>7</v>
      </c>
      <c r="D6" s="8"/>
      <c r="E6" s="8" t="s">
        <v>8</v>
      </c>
      <c r="F6" s="8"/>
      <c r="G6" s="8" t="s">
        <v>9</v>
      </c>
      <c r="H6" s="8"/>
    </row>
    <row r="7" customFormat="false" ht="25.5" hidden="false" customHeight="true" outlineLevel="0" collapsed="false">
      <c r="A7" s="9" t="n">
        <f aca="false">04_INGRESOS!F27</f>
        <v>182000000</v>
      </c>
      <c r="B7" s="9"/>
      <c r="C7" s="9" t="n">
        <f aca="false">09_FORMULARIO_210!D105</f>
        <v>102172000</v>
      </c>
      <c r="D7" s="9"/>
      <c r="E7" s="9" t="n">
        <f aca="false">09_FORMULARIO_210!D127</f>
        <v>10680000</v>
      </c>
      <c r="F7" s="9"/>
      <c r="G7" s="9" t="n">
        <f aca="false">09_FORMULARIO_210!D130+09_FORMULARIO_210!D131+09_FORMULARIO_210!D132</f>
        <v>13280000</v>
      </c>
      <c r="H7" s="9"/>
    </row>
    <row r="9" customFormat="false" ht="15" hidden="false" customHeight="true" outlineLevel="0" collapsed="false">
      <c r="A9" s="8" t="s">
        <v>10</v>
      </c>
      <c r="B9" s="8"/>
      <c r="C9" s="8" t="s">
        <v>11</v>
      </c>
      <c r="D9" s="8"/>
      <c r="E9" s="8" t="s">
        <v>12</v>
      </c>
      <c r="F9" s="8"/>
      <c r="G9" s="8" t="s">
        <v>13</v>
      </c>
      <c r="H9" s="8"/>
    </row>
    <row r="10" customFormat="false" ht="25.5" hidden="false" customHeight="true" outlineLevel="0" collapsed="false">
      <c r="A10" s="9" t="n">
        <f aca="false">09_FORMULARIO_210!D7</f>
        <v>297000000</v>
      </c>
      <c r="B10" s="9"/>
      <c r="C10" s="9" t="n">
        <f aca="false">09_FORMULARIO_210!D9</f>
        <v>234000000</v>
      </c>
      <c r="D10" s="9"/>
      <c r="E10" s="10" t="n">
        <f aca="false">07_PATRIMONIO!E35</f>
        <v>26000000</v>
      </c>
      <c r="F10" s="10"/>
      <c r="G10" s="9" t="n">
        <f aca="false">09_FORMULARIO_210!D135</f>
        <v>0</v>
      </c>
      <c r="H10" s="9"/>
    </row>
    <row r="12" customFormat="false" ht="21.75" hidden="false" customHeight="true" outlineLevel="0" collapsed="false">
      <c r="A12" s="11" t="str">
        <f aca="false">IF(09_FORMULARIO_210!D139&gt;0,"RESULTADO: SALDO A SU FAVOR de $"&amp;TEXT(09_FORMULARIO_210!D139,"#,##0")&amp;" — puede pedir devolución/compensación (arts. 850-855) o arrastrarlo al año siguiente (casilla 131).","RESULTADO: SALDO A PAGAR de $"&amp;TEXT(09_FORMULARIO_210!D138,"#,##0")&amp;" — pague con el Formulario 490 antes de la fecha límite.")</f>
        <v>RESULTADO: SALDO A SU FAVOR de $2,600,000 — puede pedir devolución/compensación (arts. 850-855) o arrastrarlo al año siguiente (casilla 131).</v>
      </c>
      <c r="B12" s="11"/>
      <c r="C12" s="11"/>
      <c r="D12" s="11"/>
      <c r="E12" s="11"/>
      <c r="F12" s="11"/>
      <c r="G12" s="11"/>
      <c r="H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</row>
    <row r="15" customFormat="false" ht="19.5" hidden="false" customHeight="true" outlineLevel="0" collapsed="false">
      <c r="A15" s="12" t="s">
        <v>14</v>
      </c>
      <c r="B15" s="12"/>
      <c r="C15" s="12"/>
      <c r="D15" s="12"/>
      <c r="E15" s="12"/>
      <c r="F15" s="12"/>
      <c r="G15" s="12"/>
      <c r="H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12"/>
    </row>
    <row r="19" customFormat="false" ht="15" hidden="false" customHeight="false" outlineLevel="0" collapsed="false">
      <c r="A19" s="7" t="s">
        <v>15</v>
      </c>
      <c r="B19" s="7"/>
      <c r="C19" s="7"/>
      <c r="D19" s="7"/>
      <c r="E19" s="7"/>
      <c r="F19" s="7"/>
      <c r="G19" s="7"/>
      <c r="H19" s="7"/>
    </row>
    <row r="20" customFormat="false" ht="16.5" hidden="false" customHeight="true" outlineLevel="0" collapsed="false">
      <c r="A20" s="13" t="str">
        <f aca="false">HYPERLINK("#'03_PERFIL'!A1","03_PERFIL")</f>
        <v>03_PERFIL</v>
      </c>
      <c r="B20" s="14" t="s">
        <v>16</v>
      </c>
      <c r="C20" s="14"/>
      <c r="D20" s="14"/>
      <c r="E20" s="14"/>
      <c r="F20" s="14"/>
      <c r="G20" s="14"/>
      <c r="H20" s="14"/>
    </row>
    <row r="21" customFormat="false" ht="16.5" hidden="false" customHeight="true" outlineLevel="0" collapsed="false">
      <c r="A21" s="13" t="str">
        <f aca="false">HYPERLINK("#'04_INGRESOS'!A1","04_INGRESOS")</f>
        <v>04_INGRESOS</v>
      </c>
      <c r="B21" s="14" t="s">
        <v>17</v>
      </c>
      <c r="C21" s="14"/>
      <c r="D21" s="14"/>
      <c r="E21" s="14"/>
      <c r="F21" s="14"/>
      <c r="G21" s="14"/>
      <c r="H21" s="14"/>
    </row>
    <row r="22" customFormat="false" ht="16.5" hidden="false" customHeight="true" outlineLevel="0" collapsed="false">
      <c r="A22" s="13" t="str">
        <f aca="false">HYPERLINK("#'05_BENEFICIOS'!A1","05_BENEFICIOS")</f>
        <v>05_BENEFICIOS</v>
      </c>
      <c r="B22" s="14" t="s">
        <v>18</v>
      </c>
      <c r="C22" s="14"/>
      <c r="D22" s="14"/>
      <c r="E22" s="14"/>
      <c r="F22" s="14"/>
      <c r="G22" s="14"/>
      <c r="H22" s="14"/>
    </row>
    <row r="23" customFormat="false" ht="16.5" hidden="false" customHeight="true" outlineLevel="0" collapsed="false">
      <c r="A23" s="13" t="str">
        <f aca="false">HYPERLINK("#'06_DEPENDIENTES'!A1","06_DEPENDIENTES")</f>
        <v>06_DEPENDIENTES</v>
      </c>
      <c r="B23" s="14" t="s">
        <v>19</v>
      </c>
      <c r="C23" s="14"/>
      <c r="D23" s="14"/>
      <c r="E23" s="14"/>
      <c r="F23" s="14"/>
      <c r="G23" s="14"/>
      <c r="H23" s="14"/>
    </row>
    <row r="24" customFormat="false" ht="16.5" hidden="false" customHeight="true" outlineLevel="0" collapsed="false">
      <c r="A24" s="13" t="str">
        <f aca="false">HYPERLINK("#'07_PATRIMONIO'!A1","07_PATRIMONIO")</f>
        <v>07_PATRIMONIO</v>
      </c>
      <c r="B24" s="14" t="s">
        <v>20</v>
      </c>
      <c r="C24" s="14"/>
      <c r="D24" s="14"/>
      <c r="E24" s="14"/>
      <c r="F24" s="14"/>
      <c r="G24" s="14"/>
      <c r="H24" s="14"/>
    </row>
    <row r="25" customFormat="false" ht="16.5" hidden="false" customHeight="true" outlineLevel="0" collapsed="false">
      <c r="A25" s="13" t="str">
        <f aca="false">HYPERLINK("#'09_FORMULARIO_210'!A1","09_FORMULARIO_210")</f>
        <v>09_FORMULARIO_210</v>
      </c>
      <c r="B25" s="14" t="s">
        <v>21</v>
      </c>
      <c r="C25" s="14"/>
      <c r="D25" s="14"/>
      <c r="E25" s="14"/>
      <c r="F25" s="14"/>
      <c r="G25" s="14"/>
      <c r="H25" s="14"/>
    </row>
    <row r="26" customFormat="false" ht="16.5" hidden="false" customHeight="true" outlineLevel="0" collapsed="false">
      <c r="A26" s="13" t="str">
        <f aca="false">HYPERLINK("#'12_CONTROLES'!A1","12_CONTROLES")</f>
        <v>12_CONTROLES</v>
      </c>
      <c r="B26" s="14" t="s">
        <v>22</v>
      </c>
      <c r="C26" s="14"/>
      <c r="D26" s="14"/>
      <c r="E26" s="14"/>
      <c r="F26" s="14"/>
      <c r="G26" s="14"/>
      <c r="H26" s="14"/>
    </row>
    <row r="28" customFormat="false" ht="15" hidden="false" customHeight="false" outlineLevel="0" collapsed="false">
      <c r="A28" s="7" t="s">
        <v>23</v>
      </c>
      <c r="B28" s="7"/>
      <c r="C28" s="7"/>
      <c r="D28" s="7"/>
      <c r="E28" s="7"/>
      <c r="F28" s="7"/>
      <c r="G28" s="7"/>
      <c r="H28" s="7"/>
    </row>
    <row r="29" customFormat="false" ht="15" hidden="false" customHeight="true" outlineLevel="0" collapsed="false">
      <c r="A29" s="13" t="str">
        <f aca="false">HYPERLINK("#'02_METODOLOGIA'!A1","02_METODOLOGIA")</f>
        <v>02_METODOLOGIA</v>
      </c>
      <c r="B29" s="15" t="s">
        <v>24</v>
      </c>
      <c r="C29" s="15"/>
      <c r="D29" s="15"/>
      <c r="E29" s="15"/>
      <c r="F29" s="15"/>
      <c r="G29" s="15"/>
      <c r="H29" s="15"/>
    </row>
    <row r="30" customFormat="false" ht="15" hidden="false" customHeight="true" outlineLevel="0" collapsed="false">
      <c r="A30" s="13" t="str">
        <f aca="false">HYPERLINK("#'08_HISTORICO'!A1","08_HISTORICO")</f>
        <v>08_HISTORICO</v>
      </c>
      <c r="B30" s="15" t="s">
        <v>25</v>
      </c>
      <c r="C30" s="15"/>
      <c r="D30" s="15"/>
      <c r="E30" s="15"/>
      <c r="F30" s="15"/>
      <c r="G30" s="15"/>
      <c r="H30" s="15"/>
    </row>
    <row r="31" customFormat="false" ht="15" hidden="false" customHeight="true" outlineLevel="0" collapsed="false">
      <c r="A31" s="13" t="str">
        <f aca="false">HYPERLINK("#'10_MOTOR_EXACTO'!A1","10_MOTOR_EXACTO")</f>
        <v>10_MOTOR_EXACTO</v>
      </c>
      <c r="B31" s="15" t="s">
        <v>26</v>
      </c>
      <c r="C31" s="15"/>
      <c r="D31" s="15"/>
      <c r="E31" s="15"/>
      <c r="F31" s="15"/>
      <c r="G31" s="15"/>
      <c r="H31" s="15"/>
    </row>
    <row r="32" customFormat="false" ht="15" hidden="false" customHeight="true" outlineLevel="0" collapsed="false">
      <c r="A32" s="13" t="str">
        <f aca="false">HYPERLINK("#'11_LIMITE_40'!A1","11_LIMITE_40")</f>
        <v>11_LIMITE_40</v>
      </c>
      <c r="B32" s="15" t="s">
        <v>27</v>
      </c>
      <c r="C32" s="15"/>
      <c r="D32" s="15"/>
      <c r="E32" s="15"/>
      <c r="F32" s="15"/>
      <c r="G32" s="15"/>
      <c r="H32" s="15"/>
    </row>
    <row r="33" customFormat="false" ht="15" hidden="false" customHeight="true" outlineLevel="0" collapsed="false">
      <c r="A33" s="13" t="str">
        <f aca="false">HYPERLINK("#'13_QA'!A1","13_QA")</f>
        <v>13_QA</v>
      </c>
      <c r="B33" s="15" t="s">
        <v>28</v>
      </c>
      <c r="C33" s="15"/>
      <c r="D33" s="15"/>
      <c r="E33" s="15"/>
      <c r="F33" s="15"/>
      <c r="G33" s="15"/>
      <c r="H33" s="15"/>
    </row>
    <row r="34" customFormat="false" ht="15" hidden="false" customHeight="true" outlineLevel="0" collapsed="false">
      <c r="A34" s="13" t="str">
        <f aca="false">HYPERLINK("#'14_SOPORTES'!A1","14_SOPORTES")</f>
        <v>14_SOPORTES</v>
      </c>
      <c r="B34" s="15" t="s">
        <v>29</v>
      </c>
      <c r="C34" s="15"/>
      <c r="D34" s="15"/>
      <c r="E34" s="15"/>
      <c r="F34" s="15"/>
      <c r="G34" s="15"/>
      <c r="H34" s="15"/>
    </row>
    <row r="35" customFormat="false" ht="15" hidden="false" customHeight="true" outlineLevel="0" collapsed="false">
      <c r="A35" s="13" t="str">
        <f aca="false">HYPERLINK("#'15_EXOGENA'!A1","15_EXOGENA")</f>
        <v>15_EXOGENA</v>
      </c>
      <c r="B35" s="15" t="s">
        <v>30</v>
      </c>
      <c r="C35" s="15"/>
      <c r="D35" s="15"/>
      <c r="E35" s="15"/>
      <c r="F35" s="15"/>
      <c r="G35" s="15"/>
      <c r="H35" s="15"/>
    </row>
    <row r="36" customFormat="false" ht="15" hidden="false" customHeight="true" outlineLevel="0" collapsed="false">
      <c r="A36" s="13" t="str">
        <f aca="false">HYPERLINK("#'16_PARAMETROS'!A1","16_PARAMETROS")</f>
        <v>16_PARAMETROS</v>
      </c>
      <c r="B36" s="15" t="s">
        <v>31</v>
      </c>
      <c r="C36" s="15"/>
      <c r="D36" s="15"/>
      <c r="E36" s="15"/>
      <c r="F36" s="15"/>
      <c r="G36" s="15"/>
      <c r="H36" s="15"/>
    </row>
    <row r="37" customFormat="false" ht="15" hidden="false" customHeight="true" outlineLevel="0" collapsed="false">
      <c r="A37" s="13" t="str">
        <f aca="false">HYPERLINK("#'17_DECISIONES'!A1","17_DECISIONES")</f>
        <v>17_DECISIONES</v>
      </c>
      <c r="B37" s="15" t="s">
        <v>32</v>
      </c>
      <c r="C37" s="15"/>
      <c r="D37" s="15"/>
      <c r="E37" s="15"/>
      <c r="F37" s="15"/>
      <c r="G37" s="15"/>
      <c r="H37" s="15"/>
    </row>
    <row r="38" customFormat="false" ht="15" hidden="false" customHeight="true" outlineLevel="0" collapsed="false">
      <c r="A38" s="13" t="str">
        <f aca="false">HYPERLINK("#'18_GLOSARIO'!A1","18_GLOSARIO")</f>
        <v>18_GLOSARIO</v>
      </c>
      <c r="B38" s="15" t="s">
        <v>33</v>
      </c>
      <c r="C38" s="15"/>
      <c r="D38" s="15"/>
      <c r="E38" s="15"/>
      <c r="F38" s="15"/>
      <c r="G38" s="15"/>
      <c r="H38" s="15"/>
    </row>
    <row r="40" customFormat="false" ht="15" hidden="false" customHeight="false" outlineLevel="0" collapsed="false">
      <c r="A40" s="7" t="s">
        <v>34</v>
      </c>
      <c r="B40" s="7"/>
      <c r="C40" s="7"/>
      <c r="D40" s="7"/>
      <c r="E40" s="7"/>
      <c r="F40" s="7"/>
      <c r="G40" s="7"/>
      <c r="H40" s="7"/>
    </row>
    <row r="41" customFormat="false" ht="15" hidden="false" customHeight="true" outlineLevel="0" collapsed="false">
      <c r="A41" s="16" t="s">
        <v>35</v>
      </c>
      <c r="B41" s="17" t="s">
        <v>36</v>
      </c>
      <c r="C41" s="17"/>
      <c r="D41" s="18" t="s">
        <v>37</v>
      </c>
      <c r="E41" s="11" t="s">
        <v>38</v>
      </c>
      <c r="F41" s="11"/>
      <c r="G41" s="12" t="s">
        <v>39</v>
      </c>
      <c r="H41" s="12"/>
    </row>
    <row r="43" customFormat="false" ht="15" hidden="false" customHeight="true" outlineLevel="0" collapsed="false">
      <c r="A43" s="15" t="s">
        <v>40</v>
      </c>
      <c r="B43" s="15"/>
      <c r="C43" s="15"/>
      <c r="D43" s="15"/>
      <c r="E43" s="15"/>
      <c r="F43" s="15"/>
      <c r="G43" s="15"/>
      <c r="H43" s="15"/>
    </row>
    <row r="44" customFormat="false" ht="15" hidden="false" customHeight="false" outlineLevel="0" collapsed="false">
      <c r="A44" s="15"/>
      <c r="B44" s="15"/>
      <c r="C44" s="15"/>
      <c r="D44" s="15"/>
      <c r="E44" s="15"/>
      <c r="F44" s="15"/>
      <c r="G44" s="15"/>
      <c r="H44" s="15"/>
    </row>
  </sheetData>
  <mergeCells count="40">
    <mergeCell ref="F3:H3"/>
    <mergeCell ref="A6:B6"/>
    <mergeCell ref="C6:D6"/>
    <mergeCell ref="E6:F6"/>
    <mergeCell ref="G6:H6"/>
    <mergeCell ref="A7:B7"/>
    <mergeCell ref="C7:D7"/>
    <mergeCell ref="E7:F7"/>
    <mergeCell ref="G7:H7"/>
    <mergeCell ref="A9:B9"/>
    <mergeCell ref="C9:D9"/>
    <mergeCell ref="E9:F9"/>
    <mergeCell ref="G9:H9"/>
    <mergeCell ref="A10:B10"/>
    <mergeCell ref="C10:D10"/>
    <mergeCell ref="E10:F10"/>
    <mergeCell ref="G10:H10"/>
    <mergeCell ref="A12:H13"/>
    <mergeCell ref="A15:H17"/>
    <mergeCell ref="B20:H20"/>
    <mergeCell ref="B21:H21"/>
    <mergeCell ref="B22:H22"/>
    <mergeCell ref="B23:H23"/>
    <mergeCell ref="B24:H24"/>
    <mergeCell ref="B25:H25"/>
    <mergeCell ref="B26:H26"/>
    <mergeCell ref="B29:H29"/>
    <mergeCell ref="B30:H30"/>
    <mergeCell ref="B31:H31"/>
    <mergeCell ref="B32:H32"/>
    <mergeCell ref="B33:H33"/>
    <mergeCell ref="B34:H34"/>
    <mergeCell ref="B35:H35"/>
    <mergeCell ref="B36:H36"/>
    <mergeCell ref="B37:H37"/>
    <mergeCell ref="B38:H38"/>
    <mergeCell ref="B41:C41"/>
    <mergeCell ref="E41:F41"/>
    <mergeCell ref="G41:H41"/>
    <mergeCell ref="A43:H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false"/>
  </sheetPr>
  <dimension ref="A1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8"/>
  </cols>
  <sheetData>
    <row r="1" customFormat="false" ht="17.35" hidden="false" customHeight="false" outlineLevel="0" collapsed="false">
      <c r="A1" s="1" t="s">
        <v>41</v>
      </c>
      <c r="B1" s="1"/>
    </row>
    <row r="2" customFormat="false" ht="15" hidden="false" customHeight="false" outlineLevel="0" collapsed="false">
      <c r="B2" s="19" t="str">
        <f aca="false">HYPERLINK("#'01_INICIO'!A1","← Volver a 01_INICIO")</f>
        <v>← Volver a 01_INICIO</v>
      </c>
    </row>
    <row r="3" customFormat="false" ht="18" hidden="false" customHeight="true" outlineLevel="0" collapsed="false">
      <c r="A3" s="7" t="s">
        <v>42</v>
      </c>
      <c r="B3" s="7"/>
    </row>
    <row r="4" customFormat="false" ht="48" hidden="false" customHeight="true" outlineLevel="0" collapsed="false">
      <c r="B4" s="20" t="s">
        <v>43</v>
      </c>
    </row>
    <row r="5" customFormat="false" ht="18" hidden="false" customHeight="true" outlineLevel="0" collapsed="false">
      <c r="A5" s="7" t="s">
        <v>44</v>
      </c>
      <c r="B5" s="7"/>
    </row>
    <row r="6" customFormat="false" ht="60" hidden="false" customHeight="true" outlineLevel="0" collapsed="false">
      <c r="B6" s="20" t="s">
        <v>45</v>
      </c>
    </row>
    <row r="7" customFormat="false" ht="18" hidden="false" customHeight="true" outlineLevel="0" collapsed="false">
      <c r="A7" s="7" t="s">
        <v>46</v>
      </c>
      <c r="B7" s="7"/>
    </row>
    <row r="8" customFormat="false" ht="15.75" hidden="false" customHeight="true" outlineLevel="0" collapsed="false">
      <c r="B8" s="16" t="s">
        <v>47</v>
      </c>
    </row>
    <row r="9" customFormat="false" ht="15.75" hidden="false" customHeight="true" outlineLevel="0" collapsed="false">
      <c r="B9" s="17" t="s">
        <v>48</v>
      </c>
    </row>
    <row r="10" customFormat="false" ht="15.75" hidden="false" customHeight="true" outlineLevel="0" collapsed="false">
      <c r="B10" s="18" t="s">
        <v>49</v>
      </c>
    </row>
    <row r="11" customFormat="false" ht="15.75" hidden="false" customHeight="true" outlineLevel="0" collapsed="false">
      <c r="B11" s="21" t="s">
        <v>50</v>
      </c>
    </row>
    <row r="12" customFormat="false" ht="15.75" hidden="false" customHeight="true" outlineLevel="0" collapsed="false">
      <c r="B12" s="22" t="s">
        <v>51</v>
      </c>
    </row>
    <row r="13" customFormat="false" ht="18" hidden="false" customHeight="true" outlineLevel="0" collapsed="false">
      <c r="A13" s="7" t="s">
        <v>52</v>
      </c>
      <c r="B13" s="7"/>
    </row>
    <row r="14" customFormat="false" ht="48" hidden="false" customHeight="true" outlineLevel="0" collapsed="false">
      <c r="B14" s="20" t="s">
        <v>53</v>
      </c>
    </row>
    <row r="15" customFormat="false" ht="18" hidden="false" customHeight="true" outlineLevel="0" collapsed="false">
      <c r="A15" s="7" t="s">
        <v>54</v>
      </c>
      <c r="B15" s="7"/>
    </row>
    <row r="16" customFormat="false" ht="84" hidden="false" customHeight="true" outlineLevel="0" collapsed="false">
      <c r="B16" s="20" t="s">
        <v>55</v>
      </c>
    </row>
    <row r="17" customFormat="false" ht="18" hidden="false" customHeight="true" outlineLevel="0" collapsed="false">
      <c r="A17" s="7" t="s">
        <v>56</v>
      </c>
      <c r="B17" s="7"/>
    </row>
    <row r="18" customFormat="false" ht="60" hidden="false" customHeight="true" outlineLevel="0" collapsed="false">
      <c r="B18" s="20" t="s">
        <v>57</v>
      </c>
    </row>
    <row r="19" customFormat="false" ht="18" hidden="false" customHeight="true" outlineLevel="0" collapsed="false">
      <c r="A19" s="7" t="s">
        <v>58</v>
      </c>
      <c r="B19" s="7"/>
    </row>
    <row r="20" customFormat="false" ht="36" hidden="false" customHeight="true" outlineLevel="0" collapsed="false">
      <c r="B20" s="20" t="s">
        <v>59</v>
      </c>
    </row>
    <row r="21" customFormat="false" ht="18" hidden="false" customHeight="true" outlineLevel="0" collapsed="false">
      <c r="A21" s="7" t="s">
        <v>60</v>
      </c>
      <c r="B21" s="7"/>
    </row>
    <row r="22" customFormat="false" ht="48" hidden="false" customHeight="true" outlineLevel="0" collapsed="false">
      <c r="B22" s="20" t="s">
        <v>61</v>
      </c>
    </row>
    <row r="23" customFormat="false" ht="18" hidden="false" customHeight="true" outlineLevel="0" collapsed="false">
      <c r="A23" s="7" t="s">
        <v>62</v>
      </c>
      <c r="B23" s="7"/>
    </row>
    <row r="24" customFormat="false" ht="36" hidden="false" customHeight="true" outlineLevel="0" collapsed="false">
      <c r="B24" s="22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1" t="s">
        <v>64</v>
      </c>
      <c r="B1" s="1"/>
      <c r="C1" s="1"/>
      <c r="D1" s="1"/>
      <c r="E1" s="1"/>
    </row>
    <row r="2" customFormat="false" ht="24" hidden="false" customHeight="true" outlineLevel="0" collapsed="false">
      <c r="A2" s="15" t="s">
        <v>65</v>
      </c>
      <c r="B2" s="15"/>
      <c r="C2" s="15"/>
      <c r="D2" s="15"/>
      <c r="E2" s="19" t="str">
        <f aca="false">HYPERLINK("#'01_INICIO'!A1","← Volver a 01_INICIO")</f>
        <v>← Volver a 01_INICIO</v>
      </c>
    </row>
    <row r="4" customFormat="false" ht="15" hidden="false" customHeight="false" outlineLevel="0" collapsed="false">
      <c r="A4" s="2" t="s">
        <v>66</v>
      </c>
      <c r="B4" s="2" t="s">
        <v>67</v>
      </c>
      <c r="C4" s="2" t="s">
        <v>68</v>
      </c>
      <c r="D4" s="2" t="s">
        <v>69</v>
      </c>
      <c r="E4" s="2" t="s">
        <v>70</v>
      </c>
    </row>
    <row r="5" customFormat="false" ht="24" hidden="false" customHeight="true" outlineLevel="0" collapsed="false">
      <c r="A5" s="20" t="s">
        <v>71</v>
      </c>
      <c r="B5" s="23" t="n">
        <v>2025</v>
      </c>
      <c r="C5" s="19" t="s">
        <v>72</v>
      </c>
      <c r="D5" s="19" t="s">
        <v>73</v>
      </c>
      <c r="E5" s="19" t="s">
        <v>74</v>
      </c>
    </row>
    <row r="6" customFormat="false" ht="24" hidden="false" customHeight="true" outlineLevel="0" collapsed="false">
      <c r="A6" s="20" t="s">
        <v>75</v>
      </c>
      <c r="B6" s="23" t="n">
        <v>2026</v>
      </c>
      <c r="C6" s="19" t="s">
        <v>72</v>
      </c>
      <c r="D6" s="19" t="s">
        <v>76</v>
      </c>
      <c r="E6" s="19"/>
    </row>
    <row r="7" customFormat="false" ht="24" hidden="false" customHeight="true" outlineLevel="0" collapsed="false">
      <c r="A7" s="20" t="s">
        <v>77</v>
      </c>
      <c r="B7" s="23" t="n">
        <v>210</v>
      </c>
      <c r="C7" s="19" t="s">
        <v>72</v>
      </c>
      <c r="D7" s="19" t="s">
        <v>78</v>
      </c>
      <c r="E7" s="19" t="s">
        <v>79</v>
      </c>
    </row>
    <row r="8" customFormat="false" ht="24" hidden="false" customHeight="true" outlineLevel="0" collapsed="false">
      <c r="A8" s="20" t="s">
        <v>80</v>
      </c>
      <c r="B8" s="23" t="n">
        <v>52999999</v>
      </c>
      <c r="C8" s="19" t="s">
        <v>72</v>
      </c>
      <c r="D8" s="19" t="s">
        <v>81</v>
      </c>
      <c r="E8" s="19" t="s">
        <v>82</v>
      </c>
    </row>
    <row r="9" customFormat="false" ht="24" hidden="false" customHeight="true" outlineLevel="0" collapsed="false">
      <c r="A9" s="20" t="s">
        <v>83</v>
      </c>
      <c r="B9" s="24" t="n">
        <f aca="false">MOD(B8,100)</f>
        <v>99</v>
      </c>
      <c r="C9" s="19" t="s">
        <v>84</v>
      </c>
      <c r="D9" s="19" t="s">
        <v>85</v>
      </c>
      <c r="E9" s="19" t="s">
        <v>86</v>
      </c>
    </row>
    <row r="10" customFormat="false" ht="24" hidden="false" customHeight="true" outlineLevel="0" collapsed="false">
      <c r="A10" s="20" t="s">
        <v>87</v>
      </c>
      <c r="B10" s="25" t="n">
        <f aca="false">VLOOKUP(B9,16_PARAMETROS!$H$5:$I$104,2,FALSE())</f>
        <v>46321</v>
      </c>
      <c r="C10" s="19" t="s">
        <v>84</v>
      </c>
      <c r="D10" s="19" t="s">
        <v>88</v>
      </c>
      <c r="E10" s="19" t="s">
        <v>89</v>
      </c>
    </row>
    <row r="11" customFormat="false" ht="24" hidden="false" customHeight="true" outlineLevel="0" collapsed="false">
      <c r="A11" s="20" t="s">
        <v>90</v>
      </c>
      <c r="B11" s="16" t="s">
        <v>91</v>
      </c>
      <c r="C11" s="19" t="s">
        <v>72</v>
      </c>
      <c r="D11" s="19" t="s">
        <v>81</v>
      </c>
      <c r="E11" s="19" t="s">
        <v>92</v>
      </c>
    </row>
    <row r="12" customFormat="false" ht="24" hidden="false" customHeight="true" outlineLevel="0" collapsed="false">
      <c r="A12" s="20" t="s">
        <v>93</v>
      </c>
      <c r="B12" s="16" t="s">
        <v>94</v>
      </c>
      <c r="C12" s="19" t="s">
        <v>72</v>
      </c>
      <c r="D12" s="19" t="s">
        <v>81</v>
      </c>
      <c r="E12" s="19"/>
    </row>
    <row r="13" customFormat="false" ht="24" hidden="false" customHeight="true" outlineLevel="0" collapsed="false">
      <c r="A13" s="20" t="s">
        <v>95</v>
      </c>
      <c r="B13" s="16" t="s">
        <v>96</v>
      </c>
      <c r="C13" s="19" t="s">
        <v>72</v>
      </c>
      <c r="D13" s="19" t="s">
        <v>81</v>
      </c>
      <c r="E13" s="19"/>
    </row>
    <row r="14" customFormat="false" ht="24" hidden="false" customHeight="true" outlineLevel="0" collapsed="false">
      <c r="A14" s="20" t="s">
        <v>97</v>
      </c>
      <c r="B14" s="16" t="s">
        <v>98</v>
      </c>
      <c r="C14" s="19" t="s">
        <v>72</v>
      </c>
      <c r="D14" s="19" t="s">
        <v>99</v>
      </c>
      <c r="E14" s="19" t="s">
        <v>100</v>
      </c>
    </row>
    <row r="15" customFormat="false" ht="24" hidden="false" customHeight="true" outlineLevel="0" collapsed="false">
      <c r="A15" s="20" t="s">
        <v>101</v>
      </c>
      <c r="B15" s="16" t="s">
        <v>102</v>
      </c>
      <c r="C15" s="19" t="s">
        <v>72</v>
      </c>
      <c r="D15" s="19" t="s">
        <v>99</v>
      </c>
      <c r="E15" s="19" t="s">
        <v>103</v>
      </c>
    </row>
    <row r="16" customFormat="false" ht="24" hidden="false" customHeight="true" outlineLevel="0" collapsed="false">
      <c r="A16" s="20" t="s">
        <v>104</v>
      </c>
      <c r="B16" s="16" t="s">
        <v>105</v>
      </c>
      <c r="C16" s="19" t="s">
        <v>72</v>
      </c>
      <c r="D16" s="19" t="s">
        <v>106</v>
      </c>
      <c r="E16" s="19" t="s">
        <v>107</v>
      </c>
    </row>
    <row r="17" customFormat="false" ht="24" hidden="false" customHeight="true" outlineLevel="0" collapsed="false">
      <c r="A17" s="20" t="s">
        <v>108</v>
      </c>
      <c r="B17" s="16" t="s">
        <v>109</v>
      </c>
      <c r="C17" s="19" t="s">
        <v>72</v>
      </c>
      <c r="D17" s="19" t="s">
        <v>110</v>
      </c>
      <c r="E17" s="19" t="s">
        <v>111</v>
      </c>
    </row>
    <row r="18" customFormat="false" ht="24" hidden="false" customHeight="true" outlineLevel="0" collapsed="false">
      <c r="A18" s="20" t="s">
        <v>112</v>
      </c>
      <c r="B18" s="23" t="n">
        <v>3</v>
      </c>
      <c r="C18" s="19" t="s">
        <v>72</v>
      </c>
      <c r="D18" s="19" t="s">
        <v>113</v>
      </c>
      <c r="E18" s="19" t="s">
        <v>114</v>
      </c>
    </row>
    <row r="19" customFormat="false" ht="24" hidden="false" customHeight="true" outlineLevel="0" collapsed="false">
      <c r="A19" s="20" t="s">
        <v>115</v>
      </c>
      <c r="B19" s="26" t="n">
        <v>15000000</v>
      </c>
      <c r="C19" s="19" t="s">
        <v>72</v>
      </c>
      <c r="D19" s="19" t="s">
        <v>116</v>
      </c>
      <c r="E19" s="19" t="s">
        <v>117</v>
      </c>
    </row>
    <row r="20" customFormat="false" ht="24" hidden="false" customHeight="true" outlineLevel="0" collapsed="false">
      <c r="A20" s="20" t="s">
        <v>118</v>
      </c>
      <c r="B20" s="26" t="n">
        <v>0</v>
      </c>
      <c r="C20" s="19" t="s">
        <v>72</v>
      </c>
      <c r="D20" s="19" t="s">
        <v>116</v>
      </c>
      <c r="E20" s="19" t="s">
        <v>119</v>
      </c>
    </row>
    <row r="21" customFormat="false" ht="24" hidden="false" customHeight="true" outlineLevel="0" collapsed="false">
      <c r="A21" s="20" t="s">
        <v>120</v>
      </c>
      <c r="B21" s="26" t="n">
        <v>0</v>
      </c>
      <c r="C21" s="19" t="s">
        <v>72</v>
      </c>
      <c r="D21" s="19" t="s">
        <v>116</v>
      </c>
      <c r="E21" s="19" t="s">
        <v>121</v>
      </c>
    </row>
    <row r="22" customFormat="false" ht="24" hidden="false" customHeight="true" outlineLevel="0" collapsed="false">
      <c r="A22" s="20" t="s">
        <v>122</v>
      </c>
      <c r="B22" s="26" t="n">
        <v>278000000</v>
      </c>
      <c r="C22" s="19" t="s">
        <v>72</v>
      </c>
      <c r="D22" s="19" t="s">
        <v>116</v>
      </c>
      <c r="E22" s="19" t="s">
        <v>123</v>
      </c>
    </row>
    <row r="23" customFormat="false" ht="24" hidden="false" customHeight="true" outlineLevel="0" collapsed="false">
      <c r="A23" s="20" t="s">
        <v>124</v>
      </c>
      <c r="B23" s="26" t="n">
        <v>70000000</v>
      </c>
      <c r="C23" s="19" t="s">
        <v>72</v>
      </c>
      <c r="D23" s="19" t="s">
        <v>116</v>
      </c>
      <c r="E23" s="19"/>
    </row>
    <row r="24" customFormat="false" ht="24" hidden="false" customHeight="true" outlineLevel="0" collapsed="false">
      <c r="A24" s="20" t="s">
        <v>125</v>
      </c>
      <c r="B24" s="27" t="n">
        <f aca="false">B22-B23</f>
        <v>208000000</v>
      </c>
      <c r="C24" s="19" t="s">
        <v>84</v>
      </c>
      <c r="D24" s="19" t="s">
        <v>85</v>
      </c>
      <c r="E24" s="19"/>
    </row>
    <row r="25" customFormat="false" ht="24" hidden="false" customHeight="true" outlineLevel="0" collapsed="false">
      <c r="A25" s="20" t="s">
        <v>126</v>
      </c>
      <c r="B25" s="28" t="n">
        <v>46315</v>
      </c>
      <c r="C25" s="19" t="s">
        <v>127</v>
      </c>
      <c r="D25" s="19" t="s">
        <v>128</v>
      </c>
      <c r="E25" s="19" t="s">
        <v>129</v>
      </c>
    </row>
    <row r="26" customFormat="false" ht="24" hidden="false" customHeight="true" outlineLevel="0" collapsed="false">
      <c r="A26" s="20" t="s">
        <v>130</v>
      </c>
      <c r="B26" s="16" t="s">
        <v>109</v>
      </c>
      <c r="C26" s="19" t="s">
        <v>72</v>
      </c>
      <c r="D26" s="19" t="s">
        <v>99</v>
      </c>
      <c r="E26" s="19"/>
    </row>
    <row r="27" customFormat="false" ht="24" hidden="false" customHeight="true" outlineLevel="0" collapsed="false">
      <c r="A27" s="20" t="s">
        <v>131</v>
      </c>
      <c r="B27" s="16" t="s">
        <v>109</v>
      </c>
      <c r="C27" s="19" t="s">
        <v>72</v>
      </c>
      <c r="D27" s="19" t="s">
        <v>110</v>
      </c>
      <c r="E27" s="19" t="s">
        <v>132</v>
      </c>
    </row>
    <row r="28" customFormat="false" ht="24" hidden="false" customHeight="true" outlineLevel="0" collapsed="false">
      <c r="A28" s="20" t="s">
        <v>133</v>
      </c>
      <c r="B28" s="26" t="n">
        <v>251</v>
      </c>
      <c r="C28" s="19" t="s">
        <v>134</v>
      </c>
      <c r="D28" s="19" t="s">
        <v>135</v>
      </c>
      <c r="E28" s="19" t="s">
        <v>136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M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11"/>
    <col collapsed="false" customWidth="true" hidden="false" outlineLevel="0" max="5" min="5" style="0" width="40"/>
    <col collapsed="false" customWidth="true" hidden="false" outlineLevel="0" max="6" min="6" style="0" width="15"/>
    <col collapsed="false" customWidth="true" hidden="false" outlineLevel="0" max="8" min="7" style="0" width="12"/>
    <col collapsed="false" customWidth="true" hidden="false" outlineLevel="0" max="9" min="9" style="0" width="8"/>
    <col collapsed="false" customWidth="true" hidden="false" outlineLevel="0" max="10" min="10" style="0" width="12"/>
    <col collapsed="false" customWidth="true" hidden="false" outlineLevel="0" max="11" min="11" style="0" width="24"/>
    <col collapsed="false" customWidth="true" hidden="false" outlineLevel="0" max="12" min="12" style="0" width="9"/>
    <col collapsed="false" customWidth="true" hidden="false" outlineLevel="0" max="13" min="13" style="0" width="46"/>
  </cols>
  <sheetData>
    <row r="1" customFormat="false" ht="17.35" hidden="false" customHeight="false" outlineLevel="0" collapsed="false">
      <c r="A1" s="1" t="s">
        <v>137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4" hidden="false" customHeight="true" outlineLevel="0" collapsed="false">
      <c r="A2" s="15" t="s">
        <v>138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9" t="str">
        <f aca="false">HYPERLINK("#'01_INICIO'!A1","← Volver a 01_INICIO")</f>
        <v>← Volver a 01_INICIO</v>
      </c>
    </row>
    <row r="4" customFormat="false" ht="22.35" hidden="false" customHeight="false" outlineLevel="0" collapsed="false">
      <c r="A4" s="2" t="s">
        <v>139</v>
      </c>
      <c r="B4" s="2" t="s">
        <v>140</v>
      </c>
      <c r="C4" s="2" t="s">
        <v>141</v>
      </c>
      <c r="D4" s="2" t="s">
        <v>142</v>
      </c>
      <c r="E4" s="2" t="s">
        <v>143</v>
      </c>
      <c r="F4" s="2" t="s">
        <v>144</v>
      </c>
      <c r="G4" s="2" t="s">
        <v>145</v>
      </c>
      <c r="H4" s="2" t="s">
        <v>146</v>
      </c>
      <c r="I4" s="2" t="s">
        <v>147</v>
      </c>
      <c r="J4" s="2" t="s">
        <v>148</v>
      </c>
      <c r="K4" s="2" t="s">
        <v>69</v>
      </c>
      <c r="L4" s="2" t="s">
        <v>149</v>
      </c>
      <c r="M4" s="2" t="s">
        <v>150</v>
      </c>
    </row>
    <row r="5" customFormat="false" ht="25.5" hidden="false" customHeight="true" outlineLevel="0" collapsed="false">
      <c r="A5" s="19" t="n">
        <v>1</v>
      </c>
      <c r="B5" s="16" t="s">
        <v>151</v>
      </c>
      <c r="C5" s="29" t="s">
        <v>152</v>
      </c>
      <c r="D5" s="19" t="s">
        <v>153</v>
      </c>
      <c r="E5" s="29" t="s">
        <v>154</v>
      </c>
      <c r="F5" s="26" t="n">
        <v>150000000</v>
      </c>
      <c r="G5" s="26" t="n">
        <v>0</v>
      </c>
      <c r="H5" s="26" t="n">
        <v>12000000</v>
      </c>
      <c r="I5" s="16" t="s">
        <v>105</v>
      </c>
      <c r="J5" s="19" t="s">
        <v>155</v>
      </c>
      <c r="K5" s="19" t="s">
        <v>156</v>
      </c>
      <c r="L5" s="19" t="s">
        <v>157</v>
      </c>
      <c r="M5" s="19" t="s">
        <v>158</v>
      </c>
    </row>
    <row r="6" customFormat="false" ht="25.5" hidden="false" customHeight="true" outlineLevel="0" collapsed="false">
      <c r="A6" s="19" t="n">
        <v>2</v>
      </c>
      <c r="B6" s="16" t="s">
        <v>151</v>
      </c>
      <c r="C6" s="29" t="s">
        <v>152</v>
      </c>
      <c r="D6" s="19" t="s">
        <v>153</v>
      </c>
      <c r="E6" s="29" t="s">
        <v>159</v>
      </c>
      <c r="F6" s="26" t="n">
        <v>6000000</v>
      </c>
      <c r="G6" s="26" t="n">
        <v>0</v>
      </c>
      <c r="H6" s="26" t="n">
        <v>0</v>
      </c>
      <c r="I6" s="16" t="s">
        <v>105</v>
      </c>
      <c r="J6" s="19" t="s">
        <v>155</v>
      </c>
      <c r="K6" s="19" t="s">
        <v>160</v>
      </c>
      <c r="L6" s="19" t="s">
        <v>98</v>
      </c>
      <c r="M6" s="19" t="s">
        <v>161</v>
      </c>
    </row>
    <row r="7" customFormat="false" ht="25.5" hidden="false" customHeight="true" outlineLevel="0" collapsed="false">
      <c r="A7" s="19" t="n">
        <v>3</v>
      </c>
      <c r="B7" s="16" t="s">
        <v>151</v>
      </c>
      <c r="C7" s="29"/>
      <c r="D7" s="19"/>
      <c r="E7" s="29" t="s">
        <v>162</v>
      </c>
      <c r="F7" s="26" t="n">
        <v>0</v>
      </c>
      <c r="G7" s="26" t="n">
        <v>0</v>
      </c>
      <c r="H7" s="26" t="n">
        <v>0</v>
      </c>
      <c r="I7" s="16" t="s">
        <v>109</v>
      </c>
      <c r="J7" s="21" t="s">
        <v>163</v>
      </c>
      <c r="K7" s="19" t="s">
        <v>164</v>
      </c>
      <c r="L7" s="19" t="s">
        <v>98</v>
      </c>
      <c r="M7" s="19"/>
    </row>
    <row r="8" customFormat="false" ht="25.5" hidden="false" customHeight="true" outlineLevel="0" collapsed="false">
      <c r="A8" s="19" t="n">
        <v>4</v>
      </c>
      <c r="B8" s="16" t="s">
        <v>165</v>
      </c>
      <c r="C8" s="29" t="s">
        <v>166</v>
      </c>
      <c r="D8" s="19" t="s">
        <v>167</v>
      </c>
      <c r="E8" s="29" t="s">
        <v>168</v>
      </c>
      <c r="F8" s="26" t="n">
        <v>10000000</v>
      </c>
      <c r="G8" s="26" t="n">
        <v>0</v>
      </c>
      <c r="H8" s="26" t="n">
        <v>1000000</v>
      </c>
      <c r="I8" s="16" t="s">
        <v>105</v>
      </c>
      <c r="J8" s="21" t="s">
        <v>169</v>
      </c>
      <c r="K8" s="19" t="s">
        <v>170</v>
      </c>
      <c r="L8" s="19" t="s">
        <v>98</v>
      </c>
      <c r="M8" s="19" t="s">
        <v>171</v>
      </c>
    </row>
    <row r="9" customFormat="false" ht="25.5" hidden="false" customHeight="true" outlineLevel="0" collapsed="false">
      <c r="A9" s="19" t="n">
        <v>5</v>
      </c>
      <c r="B9" s="16" t="s">
        <v>172</v>
      </c>
      <c r="C9" s="29" t="s">
        <v>173</v>
      </c>
      <c r="D9" s="19" t="s">
        <v>174</v>
      </c>
      <c r="E9" s="29" t="s">
        <v>175</v>
      </c>
      <c r="F9" s="26" t="n">
        <v>3000000</v>
      </c>
      <c r="G9" s="26" t="n">
        <v>0</v>
      </c>
      <c r="H9" s="26" t="n">
        <v>210000</v>
      </c>
      <c r="I9" s="16" t="s">
        <v>105</v>
      </c>
      <c r="J9" s="19" t="s">
        <v>155</v>
      </c>
      <c r="K9" s="19" t="s">
        <v>176</v>
      </c>
      <c r="L9" s="19" t="s">
        <v>177</v>
      </c>
      <c r="M9" s="19" t="s">
        <v>178</v>
      </c>
    </row>
    <row r="10" customFormat="false" ht="25.5" hidden="false" customHeight="true" outlineLevel="0" collapsed="false">
      <c r="A10" s="19" t="n">
        <v>6</v>
      </c>
      <c r="B10" s="16" t="s">
        <v>172</v>
      </c>
      <c r="C10" s="29" t="s">
        <v>179</v>
      </c>
      <c r="D10" s="19" t="s">
        <v>180</v>
      </c>
      <c r="E10" s="29" t="s">
        <v>181</v>
      </c>
      <c r="F10" s="26" t="n">
        <v>1000000</v>
      </c>
      <c r="G10" s="26" t="n">
        <v>0</v>
      </c>
      <c r="H10" s="26" t="n">
        <v>70000</v>
      </c>
      <c r="I10" s="16" t="s">
        <v>105</v>
      </c>
      <c r="J10" s="19" t="s">
        <v>155</v>
      </c>
      <c r="K10" s="19" t="s">
        <v>182</v>
      </c>
      <c r="L10" s="19" t="s">
        <v>177</v>
      </c>
      <c r="M10" s="19"/>
    </row>
    <row r="11" customFormat="false" ht="25.5" hidden="false" customHeight="true" outlineLevel="0" collapsed="false">
      <c r="A11" s="19" t="n">
        <v>7</v>
      </c>
      <c r="B11" s="16" t="s">
        <v>172</v>
      </c>
      <c r="C11" s="29"/>
      <c r="D11" s="19"/>
      <c r="E11" s="29" t="s">
        <v>183</v>
      </c>
      <c r="F11" s="26" t="n">
        <v>0</v>
      </c>
      <c r="G11" s="26" t="n">
        <v>0</v>
      </c>
      <c r="H11" s="26" t="n">
        <v>0</v>
      </c>
      <c r="I11" s="16" t="s">
        <v>109</v>
      </c>
      <c r="J11" s="21" t="s">
        <v>163</v>
      </c>
      <c r="K11" s="19" t="s">
        <v>184</v>
      </c>
      <c r="L11" s="19" t="s">
        <v>185</v>
      </c>
      <c r="M11" s="19" t="s">
        <v>186</v>
      </c>
    </row>
    <row r="12" customFormat="false" ht="25.5" hidden="false" customHeight="true" outlineLevel="0" collapsed="false">
      <c r="A12" s="19" t="n">
        <v>8</v>
      </c>
      <c r="B12" s="16" t="s">
        <v>172</v>
      </c>
      <c r="C12" s="29"/>
      <c r="D12" s="19"/>
      <c r="E12" s="29" t="s">
        <v>187</v>
      </c>
      <c r="F12" s="26" t="n">
        <v>0</v>
      </c>
      <c r="G12" s="26" t="n">
        <v>0</v>
      </c>
      <c r="H12" s="26" t="n">
        <v>0</v>
      </c>
      <c r="I12" s="16" t="s">
        <v>109</v>
      </c>
      <c r="J12" s="21" t="s">
        <v>163</v>
      </c>
      <c r="K12" s="19"/>
      <c r="L12" s="19" t="s">
        <v>185</v>
      </c>
      <c r="M12" s="19"/>
    </row>
    <row r="13" customFormat="false" ht="25.5" hidden="false" customHeight="true" outlineLevel="0" collapsed="false">
      <c r="A13" s="19" t="n">
        <v>9</v>
      </c>
      <c r="B13" s="16" t="s">
        <v>188</v>
      </c>
      <c r="C13" s="29"/>
      <c r="D13" s="19"/>
      <c r="E13" s="29" t="s">
        <v>189</v>
      </c>
      <c r="F13" s="26" t="n">
        <v>0</v>
      </c>
      <c r="G13" s="26" t="n">
        <v>0</v>
      </c>
      <c r="H13" s="26" t="n">
        <v>0</v>
      </c>
      <c r="I13" s="16" t="s">
        <v>109</v>
      </c>
      <c r="J13" s="21" t="s">
        <v>163</v>
      </c>
      <c r="K13" s="19"/>
      <c r="L13" s="19" t="s">
        <v>190</v>
      </c>
      <c r="M13" s="19"/>
    </row>
    <row r="14" customFormat="false" ht="25.5" hidden="false" customHeight="true" outlineLevel="0" collapsed="false">
      <c r="A14" s="19" t="n">
        <v>10</v>
      </c>
      <c r="B14" s="16" t="s">
        <v>191</v>
      </c>
      <c r="C14" s="29"/>
      <c r="D14" s="19"/>
      <c r="E14" s="29" t="s">
        <v>192</v>
      </c>
      <c r="F14" s="26" t="n">
        <v>0</v>
      </c>
      <c r="G14" s="26" t="n">
        <v>0</v>
      </c>
      <c r="H14" s="26" t="n">
        <v>0</v>
      </c>
      <c r="I14" s="16" t="s">
        <v>109</v>
      </c>
      <c r="J14" s="21" t="s">
        <v>163</v>
      </c>
      <c r="K14" s="19" t="s">
        <v>193</v>
      </c>
      <c r="L14" s="19" t="s">
        <v>98</v>
      </c>
      <c r="M14" s="19" t="s">
        <v>194</v>
      </c>
    </row>
    <row r="15" customFormat="false" ht="25.5" hidden="false" customHeight="true" outlineLevel="0" collapsed="false">
      <c r="A15" s="19" t="n">
        <v>11</v>
      </c>
      <c r="B15" s="16" t="s">
        <v>195</v>
      </c>
      <c r="C15" s="29" t="s">
        <v>196</v>
      </c>
      <c r="D15" s="19" t="s">
        <v>197</v>
      </c>
      <c r="E15" s="29" t="s">
        <v>198</v>
      </c>
      <c r="F15" s="26" t="n">
        <v>12000000</v>
      </c>
      <c r="G15" s="26" t="n">
        <v>0</v>
      </c>
      <c r="H15" s="26" t="n">
        <v>0</v>
      </c>
      <c r="I15" s="16" t="s">
        <v>105</v>
      </c>
      <c r="J15" s="21" t="s">
        <v>169</v>
      </c>
      <c r="K15" s="19" t="s">
        <v>199</v>
      </c>
      <c r="L15" s="19" t="s">
        <v>185</v>
      </c>
      <c r="M15" s="19" t="s">
        <v>200</v>
      </c>
    </row>
    <row r="16" customFormat="false" ht="25.5" hidden="false" customHeight="true" outlineLevel="0" collapsed="false">
      <c r="A16" s="19" t="n">
        <v>12</v>
      </c>
      <c r="B16" s="16" t="s">
        <v>201</v>
      </c>
      <c r="C16" s="29"/>
      <c r="D16" s="19"/>
      <c r="E16" s="29" t="s">
        <v>202</v>
      </c>
      <c r="F16" s="26" t="n">
        <v>0</v>
      </c>
      <c r="G16" s="26" t="n">
        <v>0</v>
      </c>
      <c r="H16" s="26" t="n">
        <v>0</v>
      </c>
      <c r="I16" s="16" t="s">
        <v>109</v>
      </c>
      <c r="J16" s="21" t="s">
        <v>163</v>
      </c>
      <c r="K16" s="19" t="s">
        <v>203</v>
      </c>
      <c r="L16" s="19" t="s">
        <v>204</v>
      </c>
      <c r="M16" s="19" t="s">
        <v>205</v>
      </c>
    </row>
    <row r="17" customFormat="false" ht="25.5" hidden="false" customHeight="true" outlineLevel="0" collapsed="false">
      <c r="A17" s="19" t="n">
        <v>13</v>
      </c>
      <c r="B17" s="16" t="s">
        <v>206</v>
      </c>
      <c r="C17" s="29"/>
      <c r="D17" s="19"/>
      <c r="E17" s="29" t="s">
        <v>207</v>
      </c>
      <c r="F17" s="26" t="n">
        <v>0</v>
      </c>
      <c r="G17" s="26" t="n">
        <v>0</v>
      </c>
      <c r="H17" s="26" t="n">
        <v>0</v>
      </c>
      <c r="I17" s="16" t="s">
        <v>109</v>
      </c>
      <c r="J17" s="21" t="s">
        <v>163</v>
      </c>
      <c r="K17" s="19" t="s">
        <v>208</v>
      </c>
      <c r="L17" s="19" t="s">
        <v>209</v>
      </c>
      <c r="M17" s="19"/>
    </row>
    <row r="18" customFormat="false" ht="25.5" hidden="false" customHeight="true" outlineLevel="0" collapsed="false">
      <c r="A18" s="19" t="n">
        <v>14</v>
      </c>
      <c r="B18" s="16" t="s">
        <v>210</v>
      </c>
      <c r="C18" s="29"/>
      <c r="D18" s="19"/>
      <c r="E18" s="29" t="s">
        <v>211</v>
      </c>
      <c r="F18" s="26" t="n">
        <v>0</v>
      </c>
      <c r="G18" s="26" t="n">
        <v>0</v>
      </c>
      <c r="H18" s="26" t="n">
        <v>0</v>
      </c>
      <c r="I18" s="16" t="s">
        <v>109</v>
      </c>
      <c r="J18" s="21" t="s">
        <v>163</v>
      </c>
      <c r="K18" s="19" t="s">
        <v>212</v>
      </c>
      <c r="L18" s="19" t="s">
        <v>213</v>
      </c>
      <c r="M18" s="19"/>
    </row>
    <row r="19" customFormat="false" ht="25.5" hidden="false" customHeight="true" outlineLevel="0" collapsed="false">
      <c r="A19" s="19" t="n">
        <v>15</v>
      </c>
      <c r="B19" s="16" t="s">
        <v>214</v>
      </c>
      <c r="C19" s="29"/>
      <c r="D19" s="19"/>
      <c r="E19" s="29" t="s">
        <v>215</v>
      </c>
      <c r="F19" s="26" t="n">
        <v>0</v>
      </c>
      <c r="G19" s="26" t="n">
        <v>0</v>
      </c>
      <c r="H19" s="26" t="n">
        <v>0</v>
      </c>
      <c r="I19" s="16" t="s">
        <v>109</v>
      </c>
      <c r="J19" s="21" t="s">
        <v>163</v>
      </c>
      <c r="K19" s="19" t="s">
        <v>212</v>
      </c>
      <c r="L19" s="19" t="s">
        <v>216</v>
      </c>
      <c r="M19" s="19"/>
    </row>
    <row r="20" customFormat="false" ht="25.5" hidden="false" customHeight="true" outlineLevel="0" collapsed="false">
      <c r="A20" s="19" t="n">
        <v>16</v>
      </c>
      <c r="B20" s="16" t="s">
        <v>217</v>
      </c>
      <c r="C20" s="29"/>
      <c r="D20" s="19"/>
      <c r="E20" s="29" t="s">
        <v>218</v>
      </c>
      <c r="F20" s="26" t="n">
        <v>0</v>
      </c>
      <c r="G20" s="26" t="n">
        <v>0</v>
      </c>
      <c r="H20" s="26" t="n">
        <v>0</v>
      </c>
      <c r="I20" s="16" t="s">
        <v>109</v>
      </c>
      <c r="J20" s="21" t="s">
        <v>163</v>
      </c>
      <c r="K20" s="19" t="s">
        <v>219</v>
      </c>
      <c r="L20" s="19" t="s">
        <v>220</v>
      </c>
      <c r="M20" s="19"/>
    </row>
    <row r="21" customFormat="false" ht="25.5" hidden="false" customHeight="true" outlineLevel="0" collapsed="false">
      <c r="A21" s="19" t="n">
        <v>17</v>
      </c>
      <c r="B21" s="16" t="s">
        <v>221</v>
      </c>
      <c r="C21" s="29"/>
      <c r="D21" s="19"/>
      <c r="E21" s="29" t="s">
        <v>222</v>
      </c>
      <c r="F21" s="26" t="n">
        <v>0</v>
      </c>
      <c r="G21" s="26" t="n">
        <v>0</v>
      </c>
      <c r="H21" s="26" t="n">
        <v>0</v>
      </c>
      <c r="I21" s="16" t="s">
        <v>109</v>
      </c>
      <c r="J21" s="21" t="s">
        <v>163</v>
      </c>
      <c r="K21" s="19" t="s">
        <v>184</v>
      </c>
      <c r="L21" s="19" t="s">
        <v>220</v>
      </c>
      <c r="M21" s="19"/>
    </row>
    <row r="22" customFormat="false" ht="25.5" hidden="false" customHeight="true" outlineLevel="0" collapsed="false">
      <c r="A22" s="19" t="n">
        <v>18</v>
      </c>
      <c r="B22" s="16"/>
      <c r="C22" s="29"/>
      <c r="D22" s="19"/>
      <c r="E22" s="29" t="s">
        <v>187</v>
      </c>
      <c r="F22" s="26" t="n">
        <v>0</v>
      </c>
      <c r="G22" s="26" t="n">
        <v>0</v>
      </c>
      <c r="H22" s="26" t="n">
        <v>0</v>
      </c>
      <c r="I22" s="16" t="s">
        <v>109</v>
      </c>
      <c r="J22" s="21" t="s">
        <v>163</v>
      </c>
      <c r="K22" s="19"/>
      <c r="L22" s="19"/>
      <c r="M22" s="19"/>
    </row>
    <row r="23" customFormat="false" ht="25.5" hidden="false" customHeight="true" outlineLevel="0" collapsed="false">
      <c r="A23" s="19" t="n">
        <v>19</v>
      </c>
      <c r="B23" s="16"/>
      <c r="C23" s="29"/>
      <c r="D23" s="19"/>
      <c r="E23" s="29" t="s">
        <v>187</v>
      </c>
      <c r="F23" s="26" t="n">
        <v>0</v>
      </c>
      <c r="G23" s="26" t="n">
        <v>0</v>
      </c>
      <c r="H23" s="26" t="n">
        <v>0</v>
      </c>
      <c r="I23" s="16" t="s">
        <v>109</v>
      </c>
      <c r="J23" s="21" t="s">
        <v>163</v>
      </c>
      <c r="K23" s="19"/>
      <c r="L23" s="19"/>
      <c r="M23" s="19"/>
    </row>
    <row r="24" customFormat="false" ht="25.5" hidden="false" customHeight="true" outlineLevel="0" collapsed="false">
      <c r="A24" s="19" t="n">
        <v>20</v>
      </c>
      <c r="B24" s="16"/>
      <c r="C24" s="29"/>
      <c r="D24" s="19"/>
      <c r="E24" s="29" t="s">
        <v>187</v>
      </c>
      <c r="F24" s="26" t="n">
        <v>0</v>
      </c>
      <c r="G24" s="26" t="n">
        <v>0</v>
      </c>
      <c r="H24" s="26" t="n">
        <v>0</v>
      </c>
      <c r="I24" s="16" t="s">
        <v>109</v>
      </c>
      <c r="J24" s="21" t="s">
        <v>163</v>
      </c>
      <c r="K24" s="19"/>
      <c r="L24" s="19"/>
      <c r="M24" s="19"/>
    </row>
    <row r="26" customFormat="false" ht="15" hidden="false" customHeight="false" outlineLevel="0" collapsed="false">
      <c r="A26" s="7" t="s">
        <v>223</v>
      </c>
      <c r="B26" s="7"/>
      <c r="C26" s="7"/>
      <c r="D26" s="7"/>
      <c r="E26" s="7"/>
      <c r="F26" s="7"/>
    </row>
    <row r="27" customFormat="false" ht="22.35" hidden="false" customHeight="false" outlineLevel="0" collapsed="false">
      <c r="B27" s="20" t="s">
        <v>224</v>
      </c>
      <c r="F27" s="27" t="n">
        <f aca="false">SUMIFS($F$5:$F$24,$I$5:$I$24,"Sí")</f>
        <v>182000000</v>
      </c>
    </row>
    <row r="28" customFormat="false" ht="32.8" hidden="false" customHeight="false" outlineLevel="0" collapsed="false">
      <c r="B28" s="20" t="s">
        <v>225</v>
      </c>
      <c r="F28" s="27" t="n">
        <f aca="false">SUMIFS($F$5:$F$24,$B$5:$B$24,"Trabajo - laboral",$I$5:$I$24,"Sí")+SUMIFS($F$5:$F$24,$B$5:$B$24,"Trabajo - cesantías",$I$5:$I$24,"Sí")+SUMIFS($F$5:$F$24,$B$5:$B$24,"Trabajo - sin costos",$I$5:$I$24,"Sí")</f>
        <v>166000000</v>
      </c>
    </row>
    <row r="29" customFormat="false" ht="22.35" hidden="false" customHeight="false" outlineLevel="0" collapsed="false">
      <c r="B29" s="20" t="s">
        <v>226</v>
      </c>
      <c r="F29" s="27" t="n">
        <f aca="false">SUMIFS($F$5:$F$24,$B$5:$B$24,"Trabajo - con costos",$I$5:$I$24,"Sí")</f>
        <v>0</v>
      </c>
    </row>
    <row r="30" customFormat="false" ht="32.8" hidden="false" customHeight="false" outlineLevel="0" collapsed="false">
      <c r="B30" s="20" t="s">
        <v>227</v>
      </c>
      <c r="F30" s="27" t="n">
        <f aca="false">SUMIFS($F$5:$F$24,$B$5:$B$24,"Capital - rendimientos",$I$5:$I$24,"Sí")</f>
        <v>4000000</v>
      </c>
    </row>
    <row r="31" customFormat="false" ht="15" hidden="false" customHeight="false" outlineLevel="0" collapsed="false">
      <c r="B31" s="20" t="s">
        <v>228</v>
      </c>
      <c r="F31" s="27" t="n">
        <f aca="false">SUMIFS($F$5:$F$24,$B$5:$B$24,"Capital - otros",$I$5:$I$24,"Sí")</f>
        <v>12000000</v>
      </c>
    </row>
    <row r="32" customFormat="false" ht="15" hidden="false" customHeight="false" outlineLevel="0" collapsed="false">
      <c r="B32" s="20" t="s">
        <v>229</v>
      </c>
      <c r="F32" s="27" t="n">
        <f aca="false">SUMIFS($F$5:$F$24,$B$5:$B$24,"No laboral",$I$5:$I$24,"Sí")</f>
        <v>0</v>
      </c>
    </row>
    <row r="33" customFormat="false" ht="15" hidden="false" customHeight="false" outlineLevel="0" collapsed="false">
      <c r="B33" s="20" t="s">
        <v>230</v>
      </c>
      <c r="F33" s="27" t="n">
        <f aca="false">SUMIFS($F$5:$F$24,$B$5:$B$24,"Pensión",$I$5:$I$24,"Sí")</f>
        <v>0</v>
      </c>
    </row>
    <row r="34" customFormat="false" ht="15" hidden="false" customHeight="false" outlineLevel="0" collapsed="false">
      <c r="B34" s="20" t="s">
        <v>231</v>
      </c>
      <c r="F34" s="27" t="n">
        <f aca="false">SUMIFS($F$5:$F$24,$B$5:$B$24,"Dividendo 1",$I$5:$I$24,"Sí")</f>
        <v>0</v>
      </c>
    </row>
    <row r="35" customFormat="false" ht="15" hidden="false" customHeight="false" outlineLevel="0" collapsed="false">
      <c r="B35" s="20" t="s">
        <v>232</v>
      </c>
      <c r="F35" s="27" t="n">
        <f aca="false">SUMIFS($F$5:$F$24,$B$5:$B$24,"Dividendo 2",$I$5:$I$24,"Sí")</f>
        <v>0</v>
      </c>
    </row>
    <row r="36" customFormat="false" ht="22.35" hidden="false" customHeight="false" outlineLevel="0" collapsed="false">
      <c r="B36" s="20" t="s">
        <v>233</v>
      </c>
      <c r="F36" s="27" t="n">
        <f aca="false">SUMIFS($F$5:$F$24,$B$5:$B$24,"Ganancia ocasional",$I$5:$I$24,"Sí")</f>
        <v>0</v>
      </c>
    </row>
    <row r="37" customFormat="false" ht="15" hidden="false" customHeight="false" outlineLevel="0" collapsed="false">
      <c r="B37" s="20" t="s">
        <v>234</v>
      </c>
      <c r="F37" s="27" t="n">
        <f aca="false">SUMIFS($F$5:$F$24,$B$5:$B$24,"Lotería",$I$5:$I$24,"Sí")</f>
        <v>0</v>
      </c>
    </row>
    <row r="38" customFormat="false" ht="15" hidden="false" customHeight="false" outlineLevel="0" collapsed="false">
      <c r="B38" s="20" t="s">
        <v>235</v>
      </c>
      <c r="F38" s="27" t="n">
        <f aca="false">SUMIFS($H$5:$H$24,$I$5:$I$24,"Sí")</f>
        <v>13280000</v>
      </c>
    </row>
    <row r="39" customFormat="false" ht="22.35" hidden="false" customHeight="false" outlineLevel="0" collapsed="false">
      <c r="B39" s="20" t="s">
        <v>236</v>
      </c>
      <c r="F39" s="27" t="n">
        <f aca="false">SUMIFS($G$5:$G$24,$B$5:$B$24,"Trabajo - con costos",$I$5:$I$24,"Sí")</f>
        <v>0</v>
      </c>
    </row>
    <row r="40" customFormat="false" ht="22.35" hidden="false" customHeight="false" outlineLevel="0" collapsed="false">
      <c r="B40" s="20" t="s">
        <v>237</v>
      </c>
      <c r="F40" s="27" t="n">
        <f aca="false">SUMIFS($G$5:$G$24,$B$5:$B$24,"Capital - rendimientos",$I$5:$I$24,"Sí")+SUMIFS($G$5:$G$24,$B$5:$B$24,"Capital - otros",$I$5:$I$24,"Sí")</f>
        <v>0</v>
      </c>
    </row>
    <row r="41" customFormat="false" ht="15" hidden="false" customHeight="false" outlineLevel="0" collapsed="false">
      <c r="B41" s="20" t="s">
        <v>238</v>
      </c>
      <c r="F41" s="27" t="n">
        <f aca="false">SUMIFS($G$5:$G$24,$B$5:$B$24,"No laboral",$I$5:$I$24,"Sí")</f>
        <v>0</v>
      </c>
    </row>
    <row r="42" customFormat="false" ht="32.8" hidden="false" customHeight="false" outlineLevel="0" collapsed="false">
      <c r="B42" s="20" t="s">
        <v>239</v>
      </c>
      <c r="F42" s="27" t="n">
        <f aca="false">SUMIFS($F$5:$F$24,$B$5:$B$24,"Trabajo - laboral",$I$5:$I$24,"Sí")</f>
        <v>156000000</v>
      </c>
    </row>
    <row r="43" customFormat="false" ht="22.35" hidden="false" customHeight="false" outlineLevel="0" collapsed="false">
      <c r="B43" s="20" t="s">
        <v>240</v>
      </c>
      <c r="F43" s="27" t="n">
        <f aca="false">COUNTIFS($I$5:$I$24,"Sí",$J$5:$J$24,"Provisional")+COUNTIFS($I$5:$I$24,"Sí",$J$5:$J$24,"Pendiente")+COUNTIFS($I$5:$I$24,"Sí",$J$5:$J$24,"ESTIMADO")</f>
        <v>2</v>
      </c>
    </row>
    <row r="44" customFormat="false" ht="15" hidden="false" customHeight="false" outlineLevel="0" collapsed="false">
      <c r="B44" s="20" t="s">
        <v>241</v>
      </c>
      <c r="F44" s="27" t="n">
        <f aca="false">SUMIFS($F$5:$F$24,$B$5:$B$24,"Trabajo - cesantías",$I$5:$I$24,"Sí")</f>
        <v>0</v>
      </c>
    </row>
    <row r="45" customFormat="false" ht="43.25" hidden="false" customHeight="false" outlineLevel="0" collapsed="false">
      <c r="B45" s="20" t="s">
        <v>242</v>
      </c>
      <c r="F45" s="30" t="n">
        <f aca="false">VLOOKUP(MAX(0,03_PERFIL!$B$28-0.000000001),16_PARAMETROS!$B$48:$D$54,3,TRUE())</f>
        <v>1</v>
      </c>
    </row>
    <row r="46" customFormat="false" ht="22.35" hidden="false" customHeight="false" outlineLevel="0" collapsed="false">
      <c r="B46" s="20" t="s">
        <v>243</v>
      </c>
      <c r="F46" s="27" t="n">
        <f aca="false">MIN(F44,F44*F45)</f>
        <v>0</v>
      </c>
    </row>
  </sheetData>
  <mergeCells count="1">
    <mergeCell ref="A2:L2"/>
  </mergeCells>
  <dataValidations count="2">
    <dataValidation allowBlank="true" errorStyle="stop" operator="between" showDropDown="false" showErrorMessage="false" showInputMessage="false" sqref="B5:B24" type="list">
      <formula1>"Trabajo - laboral,Trabajo - cesantías,Trabajo - sin costos,Trabajo - con costos,Capital - rendimientos,Capital - otros,No laboral,Pensión,Dividendo 1,Dividendo 2,Ganancia ocasional,Lotería"</formula1>
      <formula2>0</formula2>
    </dataValidation>
    <dataValidation allowBlank="false" errorStyle="stop" operator="between" showDropDown="false" showErrorMessage="false" showInputMessage="false" sqref="I5:I24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J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7" min="7" style="0" width="8"/>
    <col collapsed="false" customWidth="true" hidden="false" outlineLevel="0" max="8" min="8" style="0" width="15"/>
    <col collapsed="false" customWidth="true" hidden="false" outlineLevel="0" max="9" min="9" style="0" width="42"/>
    <col collapsed="false" customWidth="true" hidden="false" outlineLevel="0" max="10" min="10" style="0" width="46"/>
  </cols>
  <sheetData>
    <row r="1" customFormat="false" ht="17.35" hidden="false" customHeight="false" outlineLevel="0" collapsed="false">
      <c r="A1" s="1" t="s">
        <v>244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4" hidden="false" customHeight="true" outlineLevel="0" collapsed="false">
      <c r="A2" s="15" t="s">
        <v>245</v>
      </c>
      <c r="B2" s="15"/>
      <c r="C2" s="15"/>
      <c r="D2" s="15"/>
      <c r="E2" s="15"/>
      <c r="F2" s="15"/>
      <c r="G2" s="15"/>
      <c r="H2" s="15"/>
      <c r="I2" s="15"/>
      <c r="J2" s="19" t="str">
        <f aca="false">HYPERLINK("#'01_INICIO'!A1","← Volver a 01_INICIO")</f>
        <v>← Volver a 01_INICIO</v>
      </c>
    </row>
    <row r="4" customFormat="false" ht="15" hidden="false" customHeight="false" outlineLevel="0" collapsed="false">
      <c r="A4" s="2" t="s">
        <v>139</v>
      </c>
      <c r="B4" s="2" t="s">
        <v>143</v>
      </c>
      <c r="C4" s="2" t="s">
        <v>246</v>
      </c>
      <c r="D4" s="2" t="s">
        <v>247</v>
      </c>
      <c r="E4" s="2" t="s">
        <v>248</v>
      </c>
      <c r="F4" s="2" t="s">
        <v>249</v>
      </c>
      <c r="G4" s="2" t="s">
        <v>250</v>
      </c>
      <c r="H4" s="2" t="s">
        <v>148</v>
      </c>
      <c r="I4" s="2" t="s">
        <v>251</v>
      </c>
      <c r="J4" s="2" t="s">
        <v>252</v>
      </c>
    </row>
    <row r="5" customFormat="false" ht="24" hidden="false" customHeight="true" outlineLevel="0" collapsed="false">
      <c r="A5" s="19" t="n">
        <v>5</v>
      </c>
      <c r="B5" s="29" t="s">
        <v>253</v>
      </c>
      <c r="C5" s="26" t="n">
        <v>6000000</v>
      </c>
      <c r="D5" s="23" t="n">
        <v>0</v>
      </c>
      <c r="E5" s="16" t="s">
        <v>105</v>
      </c>
      <c r="F5" s="27" t="n">
        <f aca="false">IF(E5="Sí",C5,0)</f>
        <v>6000000</v>
      </c>
      <c r="G5" s="19" t="s">
        <v>254</v>
      </c>
      <c r="H5" s="19" t="s">
        <v>155</v>
      </c>
      <c r="I5" s="19" t="s">
        <v>255</v>
      </c>
      <c r="J5" s="19" t="s">
        <v>256</v>
      </c>
    </row>
    <row r="6" customFormat="false" ht="24" hidden="false" customHeight="true" outlineLevel="0" collapsed="false">
      <c r="A6" s="19" t="n">
        <v>6</v>
      </c>
      <c r="B6" s="29" t="s">
        <v>257</v>
      </c>
      <c r="C6" s="26" t="n">
        <v>7500000</v>
      </c>
      <c r="D6" s="23" t="n">
        <v>0</v>
      </c>
      <c r="E6" s="16" t="s">
        <v>105</v>
      </c>
      <c r="F6" s="27" t="n">
        <f aca="false">IF(E6="Sí",C6,0)</f>
        <v>7500000</v>
      </c>
      <c r="G6" s="19" t="s">
        <v>254</v>
      </c>
      <c r="H6" s="19" t="s">
        <v>155</v>
      </c>
      <c r="I6" s="19" t="s">
        <v>258</v>
      </c>
      <c r="J6" s="19" t="s">
        <v>259</v>
      </c>
    </row>
    <row r="7" customFormat="false" ht="24" hidden="false" customHeight="true" outlineLevel="0" collapsed="false">
      <c r="A7" s="19" t="n">
        <v>7</v>
      </c>
      <c r="B7" s="29" t="s">
        <v>260</v>
      </c>
      <c r="C7" s="26" t="n">
        <v>0</v>
      </c>
      <c r="D7" s="23" t="n">
        <v>0</v>
      </c>
      <c r="E7" s="16" t="s">
        <v>109</v>
      </c>
      <c r="F7" s="27" t="n">
        <f aca="false">IF(E7="Sí",MIN(C7,0.25*04_INGRESOS!$F$27,16_PARAMETROS!$C$27*16_PARAMETROS!$C$5),0)</f>
        <v>0</v>
      </c>
      <c r="G7" s="19" t="s">
        <v>254</v>
      </c>
      <c r="H7" s="21" t="s">
        <v>163</v>
      </c>
      <c r="I7" s="19" t="s">
        <v>261</v>
      </c>
      <c r="J7" s="19" t="s">
        <v>262</v>
      </c>
    </row>
    <row r="8" customFormat="false" ht="24" hidden="false" customHeight="true" outlineLevel="0" collapsed="false">
      <c r="A8" s="19" t="n">
        <v>8</v>
      </c>
      <c r="B8" s="29" t="s">
        <v>263</v>
      </c>
      <c r="C8" s="26" t="n">
        <v>0</v>
      </c>
      <c r="D8" s="23" t="n">
        <v>0</v>
      </c>
      <c r="E8" s="16" t="s">
        <v>109</v>
      </c>
      <c r="F8" s="27" t="n">
        <f aca="false">IF(E8="Sí",C8,0)</f>
        <v>0</v>
      </c>
      <c r="G8" s="19" t="s">
        <v>254</v>
      </c>
      <c r="H8" s="21" t="s">
        <v>163</v>
      </c>
      <c r="I8" s="19" t="s">
        <v>264</v>
      </c>
      <c r="J8" s="19"/>
    </row>
    <row r="9" customFormat="false" ht="24" hidden="false" customHeight="true" outlineLevel="0" collapsed="false">
      <c r="A9" s="19" t="n">
        <v>9</v>
      </c>
      <c r="B9" s="29" t="s">
        <v>265</v>
      </c>
      <c r="C9" s="26" t="n">
        <v>0</v>
      </c>
      <c r="D9" s="23" t="n">
        <v>0</v>
      </c>
      <c r="E9" s="16" t="s">
        <v>109</v>
      </c>
      <c r="F9" s="27" t="n">
        <f aca="false">IF(E9="Sí",C9,0)</f>
        <v>0</v>
      </c>
      <c r="G9" s="19" t="s">
        <v>266</v>
      </c>
      <c r="H9" s="21" t="s">
        <v>163</v>
      </c>
      <c r="I9" s="19"/>
      <c r="J9" s="19"/>
    </row>
    <row r="10" customFormat="false" ht="24" hidden="false" customHeight="true" outlineLevel="0" collapsed="false">
      <c r="A10" s="19" t="n">
        <v>10</v>
      </c>
      <c r="B10" s="29" t="s">
        <v>267</v>
      </c>
      <c r="C10" s="27" t="n">
        <f aca="false">04_INGRESOS!F30</f>
        <v>4000000</v>
      </c>
      <c r="D10" s="31" t="n">
        <f aca="false">16_PARAMETROS!$C$21</f>
        <v>0.5543</v>
      </c>
      <c r="E10" s="16" t="s">
        <v>105</v>
      </c>
      <c r="F10" s="27" t="n">
        <f aca="false">IF(AND(E10="Sí",03_PERFIL!$B$17="No"),C10*D10,0)</f>
        <v>2217200</v>
      </c>
      <c r="G10" s="19" t="s">
        <v>268</v>
      </c>
      <c r="H10" s="19" t="s">
        <v>269</v>
      </c>
      <c r="I10" s="19" t="s">
        <v>270</v>
      </c>
      <c r="J10" s="19" t="s">
        <v>271</v>
      </c>
    </row>
    <row r="11" customFormat="false" ht="24" hidden="false" customHeight="true" outlineLevel="0" collapsed="false">
      <c r="A11" s="19" t="n">
        <v>11</v>
      </c>
      <c r="B11" s="29" t="s">
        <v>272</v>
      </c>
      <c r="C11" s="26" t="n">
        <v>5000000</v>
      </c>
      <c r="D11" s="23" t="n">
        <v>0</v>
      </c>
      <c r="E11" s="16" t="s">
        <v>109</v>
      </c>
      <c r="F11" s="27" t="n">
        <f aca="false">IF(E11="Sí",C11,0)</f>
        <v>0</v>
      </c>
      <c r="G11" s="19" t="s">
        <v>273</v>
      </c>
      <c r="H11" s="19" t="s">
        <v>155</v>
      </c>
      <c r="I11" s="19" t="s">
        <v>274</v>
      </c>
      <c r="J11" s="19" t="s">
        <v>275</v>
      </c>
    </row>
    <row r="12" customFormat="false" ht="24" hidden="false" customHeight="true" outlineLevel="0" collapsed="false">
      <c r="A12" s="19" t="n">
        <v>12</v>
      </c>
      <c r="B12" s="29" t="s">
        <v>276</v>
      </c>
      <c r="C12" s="26" t="n">
        <v>0</v>
      </c>
      <c r="D12" s="23" t="n">
        <v>0</v>
      </c>
      <c r="E12" s="16" t="s">
        <v>109</v>
      </c>
      <c r="F12" s="27" t="n">
        <f aca="false">IF(E12="Sí",C12,0)</f>
        <v>0</v>
      </c>
      <c r="G12" s="19" t="s">
        <v>273</v>
      </c>
      <c r="H12" s="19" t="s">
        <v>277</v>
      </c>
      <c r="I12" s="19" t="s">
        <v>278</v>
      </c>
      <c r="J12" s="19"/>
    </row>
    <row r="13" customFormat="false" ht="24" hidden="false" customHeight="true" outlineLevel="0" collapsed="false">
      <c r="A13" s="19" t="n">
        <v>13</v>
      </c>
      <c r="B13" s="29" t="s">
        <v>279</v>
      </c>
      <c r="C13" s="27" t="n">
        <f aca="false">IF(D13="220",C11,C12)</f>
        <v>5000000</v>
      </c>
      <c r="D13" s="16" t="s">
        <v>280</v>
      </c>
      <c r="E13" s="16" t="s">
        <v>105</v>
      </c>
      <c r="F13" s="27" t="n">
        <f aca="false">IF(E13="Sí",C13,0)</f>
        <v>5000000</v>
      </c>
      <c r="G13" s="19" t="s">
        <v>281</v>
      </c>
      <c r="H13" s="19" t="s">
        <v>155</v>
      </c>
      <c r="I13" s="19" t="s">
        <v>282</v>
      </c>
      <c r="J13" s="19" t="s">
        <v>283</v>
      </c>
    </row>
    <row r="14" customFormat="false" ht="24" hidden="false" customHeight="true" outlineLevel="0" collapsed="false">
      <c r="A14" s="19" t="n">
        <v>14</v>
      </c>
      <c r="B14" s="29" t="s">
        <v>284</v>
      </c>
      <c r="C14" s="26" t="n">
        <v>0</v>
      </c>
      <c r="D14" s="23" t="n">
        <v>0</v>
      </c>
      <c r="E14" s="16" t="s">
        <v>109</v>
      </c>
      <c r="F14" s="27" t="n">
        <f aca="false">IF(E14="Sí",C14,0)</f>
        <v>0</v>
      </c>
      <c r="G14" s="19" t="s">
        <v>281</v>
      </c>
      <c r="H14" s="21" t="s">
        <v>163</v>
      </c>
      <c r="I14" s="19" t="s">
        <v>285</v>
      </c>
      <c r="J14" s="19"/>
    </row>
    <row r="15" customFormat="false" ht="24" hidden="false" customHeight="true" outlineLevel="0" collapsed="false">
      <c r="A15" s="19" t="n">
        <v>15</v>
      </c>
      <c r="B15" s="29" t="s">
        <v>286</v>
      </c>
      <c r="C15" s="26" t="n">
        <v>0</v>
      </c>
      <c r="D15" s="23" t="n">
        <v>0</v>
      </c>
      <c r="E15" s="16" t="s">
        <v>109</v>
      </c>
      <c r="F15" s="27" t="n">
        <f aca="false">IF(E15="Sí",C15,0)</f>
        <v>0</v>
      </c>
      <c r="G15" s="19" t="s">
        <v>281</v>
      </c>
      <c r="H15" s="21" t="s">
        <v>163</v>
      </c>
      <c r="I15" s="19" t="s">
        <v>287</v>
      </c>
      <c r="J15" s="19"/>
    </row>
    <row r="16" customFormat="false" ht="24" hidden="false" customHeight="true" outlineLevel="0" collapsed="false">
      <c r="A16" s="19" t="n">
        <v>16</v>
      </c>
      <c r="B16" s="29" t="s">
        <v>288</v>
      </c>
      <c r="C16" s="26" t="n">
        <v>0</v>
      </c>
      <c r="D16" s="23" t="n">
        <v>0</v>
      </c>
      <c r="E16" s="16" t="s">
        <v>109</v>
      </c>
      <c r="F16" s="27" t="n">
        <f aca="false">IF(E16="Sí",C16,0)</f>
        <v>0</v>
      </c>
      <c r="G16" s="19" t="s">
        <v>289</v>
      </c>
      <c r="H16" s="21" t="s">
        <v>163</v>
      </c>
      <c r="I16" s="19" t="s">
        <v>290</v>
      </c>
      <c r="J16" s="19"/>
    </row>
    <row r="17" customFormat="false" ht="24" hidden="false" customHeight="true" outlineLevel="0" collapsed="false">
      <c r="A17" s="19" t="n">
        <v>17</v>
      </c>
      <c r="B17" s="29" t="s">
        <v>291</v>
      </c>
      <c r="C17" s="26" t="n">
        <v>4000000</v>
      </c>
      <c r="D17" s="23" t="n">
        <v>0</v>
      </c>
      <c r="E17" s="16" t="s">
        <v>105</v>
      </c>
      <c r="F17" s="27" t="n">
        <f aca="false">IF(E17="Sí",MIN(C17,16_PARAMETROS!$C$10*16_PARAMETROS!$C$5),0)</f>
        <v>4000000</v>
      </c>
      <c r="G17" s="19" t="s">
        <v>292</v>
      </c>
      <c r="H17" s="19" t="s">
        <v>155</v>
      </c>
      <c r="I17" s="19" t="s">
        <v>293</v>
      </c>
      <c r="J17" s="19" t="s">
        <v>294</v>
      </c>
    </row>
    <row r="18" customFormat="false" ht="24" hidden="false" customHeight="true" outlineLevel="0" collapsed="false">
      <c r="A18" s="19" t="n">
        <v>18</v>
      </c>
      <c r="B18" s="29" t="s">
        <v>295</v>
      </c>
      <c r="C18" s="26" t="n">
        <v>0</v>
      </c>
      <c r="D18" s="23" t="n">
        <v>0</v>
      </c>
      <c r="E18" s="16" t="s">
        <v>109</v>
      </c>
      <c r="F18" s="27" t="n">
        <f aca="false">IF(E18="Sí",MIN(C18,16_PARAMETROS!$C$11*16_PARAMETROS!$C$5),0)</f>
        <v>0</v>
      </c>
      <c r="G18" s="19" t="s">
        <v>296</v>
      </c>
      <c r="H18" s="21" t="s">
        <v>163</v>
      </c>
      <c r="I18" s="19" t="s">
        <v>297</v>
      </c>
      <c r="J18" s="19"/>
    </row>
    <row r="19" customFormat="false" ht="24" hidden="false" customHeight="true" outlineLevel="0" collapsed="false">
      <c r="A19" s="19" t="n">
        <v>19</v>
      </c>
      <c r="B19" s="29" t="s">
        <v>298</v>
      </c>
      <c r="C19" s="26" t="n">
        <v>4800000</v>
      </c>
      <c r="D19" s="23" t="n">
        <v>12</v>
      </c>
      <c r="E19" s="16" t="s">
        <v>105</v>
      </c>
      <c r="F19" s="27" t="n">
        <f aca="false">IF(E19="Sí",MIN(C19,D19*16_PARAMETROS!$C$12*16_PARAMETROS!$C$5),0)</f>
        <v>4800000</v>
      </c>
      <c r="G19" s="19" t="s">
        <v>296</v>
      </c>
      <c r="H19" s="19" t="s">
        <v>155</v>
      </c>
      <c r="I19" s="19" t="s">
        <v>299</v>
      </c>
      <c r="J19" s="19" t="s">
        <v>300</v>
      </c>
    </row>
    <row r="20" customFormat="false" ht="24" hidden="false" customHeight="true" outlineLevel="0" collapsed="false">
      <c r="A20" s="19" t="n">
        <v>20</v>
      </c>
      <c r="B20" s="29" t="s">
        <v>301</v>
      </c>
      <c r="C20" s="26" t="n">
        <v>400000</v>
      </c>
      <c r="D20" s="32" t="n">
        <v>0.5</v>
      </c>
      <c r="E20" s="16" t="s">
        <v>105</v>
      </c>
      <c r="F20" s="27" t="n">
        <f aca="false">IF(E20="Sí",C20*D20,0)</f>
        <v>200000</v>
      </c>
      <c r="G20" s="19" t="s">
        <v>296</v>
      </c>
      <c r="H20" s="19" t="s">
        <v>155</v>
      </c>
      <c r="I20" s="19" t="s">
        <v>302</v>
      </c>
      <c r="J20" s="19" t="s">
        <v>303</v>
      </c>
    </row>
    <row r="21" customFormat="false" ht="24" hidden="false" customHeight="true" outlineLevel="0" collapsed="false">
      <c r="A21" s="19" t="n">
        <v>21</v>
      </c>
      <c r="B21" s="29" t="s">
        <v>304</v>
      </c>
      <c r="C21" s="33" t="n">
        <f aca="false">06_DEPENDIENTES!B20</f>
        <v>1</v>
      </c>
      <c r="D21" s="33" t="n">
        <f aca="false">06_DEPENDIENTES!B19</f>
        <v>12</v>
      </c>
      <c r="E21" s="13" t="str">
        <f aca="false">IF(C21&gt;0,"Sí","No")</f>
        <v>Sí</v>
      </c>
      <c r="F21" s="27" t="n">
        <f aca="false">IF(C21&gt;0,MIN(0.1*04_INGRESOS!$F$42,D21*16_PARAMETROS!$C$13*16_PARAMETROS!$C$5),0)</f>
        <v>15600000</v>
      </c>
      <c r="G21" s="19" t="s">
        <v>296</v>
      </c>
      <c r="H21" s="19" t="s">
        <v>155</v>
      </c>
      <c r="I21" s="19" t="s">
        <v>305</v>
      </c>
      <c r="J21" s="19" t="s">
        <v>306</v>
      </c>
    </row>
    <row r="22" customFormat="false" ht="24" hidden="false" customHeight="true" outlineLevel="0" collapsed="false">
      <c r="A22" s="19" t="n">
        <v>22</v>
      </c>
      <c r="B22" s="29" t="s">
        <v>307</v>
      </c>
      <c r="C22" s="33" t="n">
        <f aca="false">06_DEPENDIENTES!B18</f>
        <v>1</v>
      </c>
      <c r="D22" s="33" t="n">
        <f aca="false">16_PARAMETROS!$C$14</f>
        <v>72</v>
      </c>
      <c r="E22" s="13" t="str">
        <f aca="false">IF(C22&gt;0,"Sí","No")</f>
        <v>Sí</v>
      </c>
      <c r="F22" s="27" t="n">
        <f aca="false">IF(C22&gt;0,MIN(C22,16_PARAMETROS!$C$15)*16_PARAMETROS!$C$14*16_PARAMETROS!$C$5,0)</f>
        <v>3585528</v>
      </c>
      <c r="G22" s="19" t="s">
        <v>308</v>
      </c>
      <c r="H22" s="19" t="s">
        <v>155</v>
      </c>
      <c r="I22" s="19" t="s">
        <v>309</v>
      </c>
      <c r="J22" s="19" t="s">
        <v>306</v>
      </c>
    </row>
    <row r="23" customFormat="false" ht="24" hidden="false" customHeight="true" outlineLevel="0" collapsed="false">
      <c r="A23" s="19" t="n">
        <v>23</v>
      </c>
      <c r="B23" s="29" t="s">
        <v>310</v>
      </c>
      <c r="C23" s="26" t="n">
        <v>20000000</v>
      </c>
      <c r="D23" s="32" t="n">
        <v>0.01</v>
      </c>
      <c r="E23" s="16" t="s">
        <v>105</v>
      </c>
      <c r="F23" s="27" t="n">
        <f aca="false">IF(E23="Sí",MIN(C23*D23,16_PARAMETROS!$C$16*16_PARAMETROS!$C$5),0)</f>
        <v>200000</v>
      </c>
      <c r="G23" s="19" t="s">
        <v>311</v>
      </c>
      <c r="H23" s="19" t="s">
        <v>269</v>
      </c>
      <c r="I23" s="19" t="s">
        <v>312</v>
      </c>
      <c r="J23" s="19" t="s">
        <v>313</v>
      </c>
    </row>
    <row r="24" customFormat="false" ht="24" hidden="false" customHeight="true" outlineLevel="0" collapsed="false">
      <c r="A24" s="19" t="n">
        <v>24</v>
      </c>
      <c r="B24" s="29" t="s">
        <v>314</v>
      </c>
      <c r="C24" s="26" t="n">
        <v>0</v>
      </c>
      <c r="D24" s="23" t="n">
        <v>0</v>
      </c>
      <c r="E24" s="16" t="s">
        <v>109</v>
      </c>
      <c r="F24" s="27" t="n">
        <f aca="false">IF(E24="Sí",C24,0)</f>
        <v>0</v>
      </c>
      <c r="G24" s="19" t="s">
        <v>315</v>
      </c>
      <c r="H24" s="21" t="s">
        <v>163</v>
      </c>
      <c r="I24" s="19"/>
      <c r="J24" s="19"/>
    </row>
    <row r="25" customFormat="false" ht="24" hidden="false" customHeight="true" outlineLevel="0" collapsed="false">
      <c r="A25" s="19" t="n">
        <v>25</v>
      </c>
      <c r="B25" s="29" t="s">
        <v>316</v>
      </c>
      <c r="C25" s="26" t="n">
        <v>0</v>
      </c>
      <c r="D25" s="23" t="n">
        <v>0</v>
      </c>
      <c r="E25" s="16" t="s">
        <v>109</v>
      </c>
      <c r="F25" s="27" t="n">
        <f aca="false">IF(E25="Sí",C25,0)</f>
        <v>0</v>
      </c>
      <c r="G25" s="19" t="s">
        <v>317</v>
      </c>
      <c r="H25" s="21" t="s">
        <v>163</v>
      </c>
      <c r="I25" s="19"/>
      <c r="J25" s="19"/>
    </row>
    <row r="26" customFormat="false" ht="24" hidden="false" customHeight="true" outlineLevel="0" collapsed="false">
      <c r="A26" s="19" t="n">
        <v>26</v>
      </c>
      <c r="B26" s="29" t="s">
        <v>318</v>
      </c>
      <c r="C26" s="26" t="n">
        <v>0</v>
      </c>
      <c r="D26" s="23" t="n">
        <v>0</v>
      </c>
      <c r="E26" s="16" t="s">
        <v>109</v>
      </c>
      <c r="F26" s="27" t="n">
        <f aca="false">IF(E26="Sí",C26,0)</f>
        <v>0</v>
      </c>
      <c r="G26" s="19" t="s">
        <v>319</v>
      </c>
      <c r="H26" s="21" t="s">
        <v>163</v>
      </c>
      <c r="I26" s="19"/>
      <c r="J26" s="19"/>
    </row>
    <row r="27" customFormat="false" ht="24" hidden="false" customHeight="true" outlineLevel="0" collapsed="false">
      <c r="A27" s="19" t="n">
        <v>27</v>
      </c>
      <c r="B27" s="29" t="s">
        <v>320</v>
      </c>
      <c r="C27" s="26" t="n">
        <v>0</v>
      </c>
      <c r="D27" s="23" t="n">
        <v>0</v>
      </c>
      <c r="E27" s="16" t="s">
        <v>109</v>
      </c>
      <c r="F27" s="27" t="n">
        <f aca="false">IF(E27="Sí",C27,0)</f>
        <v>0</v>
      </c>
      <c r="G27" s="19" t="s">
        <v>321</v>
      </c>
      <c r="H27" s="21" t="s">
        <v>163</v>
      </c>
      <c r="I27" s="19" t="s">
        <v>322</v>
      </c>
      <c r="J27" s="19"/>
    </row>
    <row r="28" customFormat="false" ht="24" hidden="false" customHeight="true" outlineLevel="0" collapsed="false">
      <c r="A28" s="19" t="n">
        <v>28</v>
      </c>
      <c r="B28" s="29" t="s">
        <v>323</v>
      </c>
      <c r="C28" s="26" t="n">
        <v>0</v>
      </c>
      <c r="D28" s="23" t="n">
        <v>0</v>
      </c>
      <c r="E28" s="16" t="s">
        <v>109</v>
      </c>
      <c r="F28" s="27" t="n">
        <f aca="false">IF(E28="Sí",C28,0)</f>
        <v>0</v>
      </c>
      <c r="G28" s="19" t="s">
        <v>324</v>
      </c>
      <c r="H28" s="21" t="s">
        <v>163</v>
      </c>
      <c r="I28" s="19" t="s">
        <v>325</v>
      </c>
      <c r="J28" s="19"/>
    </row>
    <row r="29" customFormat="false" ht="24" hidden="false" customHeight="true" outlineLevel="0" collapsed="false">
      <c r="A29" s="19" t="n">
        <v>29</v>
      </c>
      <c r="B29" s="29" t="s">
        <v>326</v>
      </c>
      <c r="C29" s="26" t="n">
        <v>0</v>
      </c>
      <c r="D29" s="23" t="n">
        <v>0</v>
      </c>
      <c r="E29" s="16" t="s">
        <v>109</v>
      </c>
      <c r="F29" s="27" t="n">
        <f aca="false">IF(E29="Sí",C29,0)</f>
        <v>0</v>
      </c>
      <c r="G29" s="19" t="s">
        <v>327</v>
      </c>
      <c r="H29" s="21" t="s">
        <v>163</v>
      </c>
      <c r="I29" s="19" t="s">
        <v>328</v>
      </c>
      <c r="J29" s="19"/>
    </row>
    <row r="30" customFormat="false" ht="24" hidden="false" customHeight="true" outlineLevel="0" collapsed="false">
      <c r="A30" s="19" t="n">
        <v>30</v>
      </c>
      <c r="B30" s="29" t="s">
        <v>329</v>
      </c>
      <c r="C30" s="26" t="n">
        <v>0</v>
      </c>
      <c r="D30" s="23" t="n">
        <v>0</v>
      </c>
      <c r="E30" s="16" t="s">
        <v>109</v>
      </c>
      <c r="F30" s="27" t="n">
        <f aca="false">IF(E30="Sí",C30,0)</f>
        <v>0</v>
      </c>
      <c r="G30" s="19" t="s">
        <v>330</v>
      </c>
      <c r="H30" s="21" t="s">
        <v>163</v>
      </c>
      <c r="I30" s="19"/>
      <c r="J30" s="19"/>
    </row>
    <row r="31" customFormat="false" ht="24" hidden="false" customHeight="true" outlineLevel="0" collapsed="false">
      <c r="A31" s="19" t="n">
        <v>31</v>
      </c>
      <c r="B31" s="29" t="s">
        <v>331</v>
      </c>
      <c r="C31" s="26" t="n">
        <v>0</v>
      </c>
      <c r="D31" s="23" t="n">
        <v>0</v>
      </c>
      <c r="E31" s="16" t="s">
        <v>109</v>
      </c>
      <c r="F31" s="27" t="n">
        <f aca="false">IF(E31="Sí",C31,0)</f>
        <v>0</v>
      </c>
      <c r="G31" s="19" t="s">
        <v>332</v>
      </c>
      <c r="H31" s="21" t="s">
        <v>163</v>
      </c>
      <c r="I31" s="19" t="s">
        <v>333</v>
      </c>
      <c r="J31" s="19"/>
    </row>
    <row r="32" customFormat="false" ht="24" hidden="false" customHeight="true" outlineLevel="0" collapsed="false">
      <c r="A32" s="19" t="n">
        <v>32</v>
      </c>
      <c r="B32" s="29" t="s">
        <v>334</v>
      </c>
      <c r="C32" s="26" t="n">
        <v>0</v>
      </c>
      <c r="D32" s="23" t="n">
        <v>0</v>
      </c>
      <c r="E32" s="16" t="s">
        <v>109</v>
      </c>
      <c r="F32" s="27" t="n">
        <f aca="false">IF(E32="Sí",C32,0)</f>
        <v>0</v>
      </c>
      <c r="G32" s="19" t="s">
        <v>335</v>
      </c>
      <c r="H32" s="21" t="s">
        <v>163</v>
      </c>
      <c r="I32" s="19" t="s">
        <v>336</v>
      </c>
      <c r="J32" s="19"/>
    </row>
    <row r="33" customFormat="false" ht="24" hidden="false" customHeight="true" outlineLevel="0" collapsed="false">
      <c r="A33" s="19" t="n">
        <v>33</v>
      </c>
      <c r="B33" s="29" t="s">
        <v>337</v>
      </c>
      <c r="C33" s="26" t="n">
        <v>0</v>
      </c>
      <c r="D33" s="23" t="n">
        <v>0</v>
      </c>
      <c r="E33" s="16" t="s">
        <v>109</v>
      </c>
      <c r="F33" s="27" t="n">
        <f aca="false">IF(E33="Sí",C33,0)</f>
        <v>0</v>
      </c>
      <c r="G33" s="19" t="s">
        <v>338</v>
      </c>
      <c r="H33" s="21" t="s">
        <v>163</v>
      </c>
      <c r="I33" s="19"/>
      <c r="J33" s="19"/>
    </row>
    <row r="34" customFormat="false" ht="24" hidden="false" customHeight="true" outlineLevel="0" collapsed="false">
      <c r="A34" s="19" t="n">
        <v>34</v>
      </c>
      <c r="B34" s="29" t="s">
        <v>339</v>
      </c>
      <c r="C34" s="26" t="n">
        <v>0</v>
      </c>
      <c r="D34" s="23" t="n">
        <v>0</v>
      </c>
      <c r="E34" s="16" t="s">
        <v>109</v>
      </c>
      <c r="F34" s="27" t="n">
        <f aca="false">IF(E34="Sí",C34,0)</f>
        <v>0</v>
      </c>
      <c r="G34" s="19" t="s">
        <v>340</v>
      </c>
      <c r="H34" s="21" t="s">
        <v>163</v>
      </c>
      <c r="I34" s="19" t="s">
        <v>341</v>
      </c>
      <c r="J34" s="19"/>
    </row>
    <row r="35" customFormat="false" ht="24" hidden="false" customHeight="true" outlineLevel="0" collapsed="false">
      <c r="A35" s="19" t="n">
        <v>35</v>
      </c>
      <c r="B35" s="29" t="s">
        <v>342</v>
      </c>
      <c r="C35" s="26" t="n">
        <v>0</v>
      </c>
      <c r="D35" s="23" t="n">
        <v>0</v>
      </c>
      <c r="E35" s="16" t="s">
        <v>109</v>
      </c>
      <c r="F35" s="27" t="n">
        <f aca="false">IF(E35="Sí",C35,0)</f>
        <v>0</v>
      </c>
      <c r="G35" s="19" t="s">
        <v>343</v>
      </c>
      <c r="H35" s="21" t="s">
        <v>163</v>
      </c>
      <c r="I35" s="19"/>
      <c r="J35" s="19"/>
    </row>
    <row r="36" customFormat="false" ht="24" hidden="false" customHeight="true" outlineLevel="0" collapsed="false">
      <c r="A36" s="19" t="n">
        <v>36</v>
      </c>
      <c r="B36" s="29" t="s">
        <v>344</v>
      </c>
      <c r="C36" s="26" t="n">
        <v>0</v>
      </c>
      <c r="D36" s="23" t="n">
        <v>0</v>
      </c>
      <c r="E36" s="16" t="s">
        <v>109</v>
      </c>
      <c r="F36" s="27" t="n">
        <f aca="false">IF(E36="Sí",C36,0)</f>
        <v>0</v>
      </c>
      <c r="G36" s="19" t="s">
        <v>345</v>
      </c>
      <c r="H36" s="21" t="s">
        <v>163</v>
      </c>
      <c r="I36" s="19" t="s">
        <v>346</v>
      </c>
      <c r="J36" s="19"/>
    </row>
    <row r="37" customFormat="false" ht="24" hidden="false" customHeight="true" outlineLevel="0" collapsed="false">
      <c r="A37" s="19" t="n">
        <v>37</v>
      </c>
      <c r="B37" s="29" t="s">
        <v>347</v>
      </c>
      <c r="C37" s="26" t="n">
        <v>0</v>
      </c>
      <c r="D37" s="23" t="n">
        <v>0</v>
      </c>
      <c r="E37" s="16" t="s">
        <v>109</v>
      </c>
      <c r="F37" s="27" t="n">
        <f aca="false">IF(E37="Sí",0.25*C37,0)</f>
        <v>0</v>
      </c>
      <c r="G37" s="19" t="s">
        <v>348</v>
      </c>
      <c r="H37" s="21" t="s">
        <v>163</v>
      </c>
      <c r="I37" s="19" t="s">
        <v>349</v>
      </c>
      <c r="J37" s="19" t="s">
        <v>350</v>
      </c>
    </row>
    <row r="38" customFormat="false" ht="24" hidden="false" customHeight="true" outlineLevel="0" collapsed="false">
      <c r="A38" s="19" t="n">
        <v>38</v>
      </c>
      <c r="B38" s="29" t="s">
        <v>351</v>
      </c>
      <c r="C38" s="26" t="n">
        <v>0</v>
      </c>
      <c r="D38" s="23" t="n">
        <v>0</v>
      </c>
      <c r="E38" s="16" t="s">
        <v>109</v>
      </c>
      <c r="F38" s="27" t="n">
        <f aca="false">IF(E38="Sí",C38,0)</f>
        <v>0</v>
      </c>
      <c r="G38" s="19" t="s">
        <v>352</v>
      </c>
      <c r="H38" s="21" t="s">
        <v>163</v>
      </c>
      <c r="I38" s="19" t="s">
        <v>353</v>
      </c>
      <c r="J38" s="19"/>
    </row>
    <row r="39" customFormat="false" ht="24" hidden="false" customHeight="true" outlineLevel="0" collapsed="false">
      <c r="A39" s="19" t="n">
        <v>39</v>
      </c>
      <c r="B39" s="29" t="s">
        <v>354</v>
      </c>
      <c r="C39" s="26" t="n">
        <v>0</v>
      </c>
      <c r="D39" s="23" t="n">
        <v>0</v>
      </c>
      <c r="E39" s="16" t="s">
        <v>109</v>
      </c>
      <c r="F39" s="27" t="n">
        <f aca="false">IF(E39="Sí",C39,0)</f>
        <v>0</v>
      </c>
      <c r="G39" s="19" t="s">
        <v>355</v>
      </c>
      <c r="H39" s="19" t="s">
        <v>277</v>
      </c>
      <c r="I39" s="19" t="s">
        <v>356</v>
      </c>
      <c r="J39" s="19" t="s">
        <v>357</v>
      </c>
    </row>
    <row r="40" customFormat="false" ht="24" hidden="false" customHeight="true" outlineLevel="0" collapsed="false">
      <c r="A40" s="19" t="n">
        <v>40</v>
      </c>
      <c r="B40" s="29" t="s">
        <v>358</v>
      </c>
      <c r="C40" s="26" t="n">
        <v>0</v>
      </c>
      <c r="D40" s="23" t="n">
        <v>0</v>
      </c>
      <c r="E40" s="16" t="s">
        <v>109</v>
      </c>
      <c r="F40" s="27" t="n">
        <f aca="false">IF(E40="Sí",C40,0)</f>
        <v>0</v>
      </c>
      <c r="G40" s="19" t="s">
        <v>359</v>
      </c>
      <c r="H40" s="19" t="s">
        <v>277</v>
      </c>
      <c r="I40" s="19"/>
      <c r="J40" s="19"/>
    </row>
    <row r="43" customFormat="false" ht="15" hidden="false" customHeight="false" outlineLevel="0" collapsed="false">
      <c r="A43" s="7" t="s">
        <v>360</v>
      </c>
      <c r="B43" s="7"/>
      <c r="C43" s="7"/>
      <c r="D43" s="7"/>
      <c r="E43" s="7"/>
      <c r="F43" s="7"/>
      <c r="G43" s="7"/>
      <c r="H43" s="7"/>
      <c r="I43" s="7"/>
      <c r="J43" s="7"/>
    </row>
    <row r="44" customFormat="false" ht="22.35" hidden="false" customHeight="false" outlineLevel="0" collapsed="false">
      <c r="A44" s="2" t="s">
        <v>139</v>
      </c>
      <c r="B44" s="2" t="s">
        <v>143</v>
      </c>
      <c r="C44" s="2" t="s">
        <v>67</v>
      </c>
      <c r="D44" s="2" t="s">
        <v>248</v>
      </c>
      <c r="E44" s="2" t="s">
        <v>361</v>
      </c>
      <c r="F44" s="2" t="s">
        <v>250</v>
      </c>
      <c r="G44" s="2" t="s">
        <v>148</v>
      </c>
      <c r="H44" s="2" t="s">
        <v>252</v>
      </c>
    </row>
    <row r="45" customFormat="false" ht="18" hidden="false" customHeight="true" outlineLevel="0" collapsed="false">
      <c r="A45" s="19" t="s">
        <v>362</v>
      </c>
      <c r="B45" s="29" t="s">
        <v>363</v>
      </c>
      <c r="C45" s="26" t="n">
        <v>0</v>
      </c>
      <c r="D45" s="16" t="s">
        <v>109</v>
      </c>
      <c r="E45" s="27" t="n">
        <f aca="false">IF(D45="Sí",C45,0)</f>
        <v>0</v>
      </c>
      <c r="F45" s="19" t="s">
        <v>364</v>
      </c>
      <c r="G45" s="19" t="s">
        <v>163</v>
      </c>
      <c r="H45" s="19" t="s">
        <v>365</v>
      </c>
    </row>
    <row r="46" customFormat="false" ht="18" hidden="false" customHeight="true" outlineLevel="0" collapsed="false">
      <c r="A46" s="19" t="s">
        <v>366</v>
      </c>
      <c r="B46" s="29" t="s">
        <v>367</v>
      </c>
      <c r="C46" s="26" t="n">
        <v>0</v>
      </c>
      <c r="D46" s="16" t="s">
        <v>109</v>
      </c>
      <c r="E46" s="27" t="n">
        <f aca="false">IF(D46="Sí",C46,0)</f>
        <v>0</v>
      </c>
      <c r="F46" s="19" t="s">
        <v>368</v>
      </c>
      <c r="G46" s="19" t="s">
        <v>163</v>
      </c>
      <c r="H46" s="19" t="s">
        <v>369</v>
      </c>
    </row>
    <row r="47" customFormat="false" ht="18" hidden="false" customHeight="true" outlineLevel="0" collapsed="false">
      <c r="A47" s="19" t="s">
        <v>370</v>
      </c>
      <c r="B47" s="29" t="s">
        <v>371</v>
      </c>
      <c r="C47" s="26" t="n">
        <v>0</v>
      </c>
      <c r="D47" s="16" t="s">
        <v>109</v>
      </c>
      <c r="E47" s="27" t="n">
        <f aca="false">IF(D47="Sí",C47,0)</f>
        <v>0</v>
      </c>
      <c r="F47" s="19" t="s">
        <v>372</v>
      </c>
      <c r="G47" s="19" t="s">
        <v>163</v>
      </c>
      <c r="H47" s="19"/>
    </row>
    <row r="48" customFormat="false" ht="18" hidden="false" customHeight="true" outlineLevel="0" collapsed="false">
      <c r="A48" s="19" t="s">
        <v>373</v>
      </c>
      <c r="B48" s="29" t="s">
        <v>374</v>
      </c>
      <c r="C48" s="26" t="n">
        <v>0</v>
      </c>
      <c r="D48" s="16" t="s">
        <v>109</v>
      </c>
      <c r="E48" s="27" t="n">
        <f aca="false">IF(D48="Sí",C48,0)</f>
        <v>0</v>
      </c>
      <c r="F48" s="19" t="s">
        <v>375</v>
      </c>
      <c r="G48" s="19" t="s">
        <v>163</v>
      </c>
      <c r="H48" s="19" t="s">
        <v>376</v>
      </c>
    </row>
    <row r="49" customFormat="false" ht="18" hidden="false" customHeight="true" outlineLevel="0" collapsed="false">
      <c r="A49" s="19" t="s">
        <v>377</v>
      </c>
      <c r="B49" s="29" t="s">
        <v>378</v>
      </c>
      <c r="C49" s="26" t="n">
        <v>0</v>
      </c>
      <c r="D49" s="16" t="s">
        <v>109</v>
      </c>
      <c r="E49" s="27" t="n">
        <f aca="false">IF(D49="Sí",C49,0)</f>
        <v>0</v>
      </c>
      <c r="F49" s="19" t="s">
        <v>379</v>
      </c>
      <c r="G49" s="19" t="s">
        <v>163</v>
      </c>
      <c r="H49" s="19" t="s">
        <v>380</v>
      </c>
    </row>
    <row r="50" customFormat="false" ht="18" hidden="false" customHeight="true" outlineLevel="0" collapsed="false">
      <c r="A50" s="19" t="s">
        <v>381</v>
      </c>
      <c r="B50" s="29" t="s">
        <v>382</v>
      </c>
      <c r="C50" s="26" t="n">
        <v>0</v>
      </c>
      <c r="D50" s="16" t="s">
        <v>109</v>
      </c>
      <c r="E50" s="27" t="n">
        <f aca="false">IF(D50="Sí",C50,0)</f>
        <v>0</v>
      </c>
      <c r="F50" s="19" t="s">
        <v>383</v>
      </c>
      <c r="G50" s="19" t="s">
        <v>163</v>
      </c>
      <c r="H50" s="19"/>
    </row>
    <row r="51" customFormat="false" ht="18" hidden="false" customHeight="true" outlineLevel="0" collapsed="false">
      <c r="A51" s="19" t="s">
        <v>384</v>
      </c>
      <c r="B51" s="29" t="s">
        <v>385</v>
      </c>
      <c r="C51" s="26" t="n">
        <v>0</v>
      </c>
      <c r="D51" s="16" t="s">
        <v>109</v>
      </c>
      <c r="E51" s="27" t="n">
        <f aca="false">IF(D51="Sí",C51,0)</f>
        <v>0</v>
      </c>
      <c r="F51" s="19" t="s">
        <v>386</v>
      </c>
      <c r="G51" s="19" t="s">
        <v>163</v>
      </c>
      <c r="H51" s="19" t="s">
        <v>369</v>
      </c>
    </row>
    <row r="52" customFormat="false" ht="18" hidden="false" customHeight="true" outlineLevel="0" collapsed="false">
      <c r="A52" s="19" t="s">
        <v>387</v>
      </c>
      <c r="B52" s="29" t="s">
        <v>388</v>
      </c>
      <c r="C52" s="26" t="n">
        <v>0</v>
      </c>
      <c r="D52" s="16" t="s">
        <v>109</v>
      </c>
      <c r="E52" s="27" t="n">
        <f aca="false">IF(D52="Sí",C52,0)</f>
        <v>0</v>
      </c>
      <c r="F52" s="19" t="s">
        <v>389</v>
      </c>
      <c r="G52" s="19" t="s">
        <v>163</v>
      </c>
      <c r="H52" s="19"/>
    </row>
    <row r="53" customFormat="false" ht="18" hidden="false" customHeight="true" outlineLevel="0" collapsed="false">
      <c r="A53" s="19" t="s">
        <v>390</v>
      </c>
      <c r="B53" s="29" t="s">
        <v>391</v>
      </c>
      <c r="C53" s="26" t="n">
        <v>0</v>
      </c>
      <c r="D53" s="16" t="s">
        <v>109</v>
      </c>
      <c r="E53" s="27" t="n">
        <f aca="false">IF(D53="Sí",C53,0)</f>
        <v>0</v>
      </c>
      <c r="F53" s="19" t="s">
        <v>392</v>
      </c>
      <c r="G53" s="19" t="s">
        <v>163</v>
      </c>
      <c r="H53" s="19" t="s">
        <v>376</v>
      </c>
    </row>
    <row r="54" customFormat="false" ht="18" hidden="false" customHeight="true" outlineLevel="0" collapsed="false">
      <c r="A54" s="19" t="s">
        <v>393</v>
      </c>
      <c r="B54" s="29" t="s">
        <v>394</v>
      </c>
      <c r="C54" s="26" t="n">
        <v>0</v>
      </c>
      <c r="D54" s="16" t="s">
        <v>109</v>
      </c>
      <c r="E54" s="27" t="n">
        <f aca="false">IF(D54="Sí",C54,0)</f>
        <v>0</v>
      </c>
      <c r="F54" s="19" t="s">
        <v>395</v>
      </c>
      <c r="G54" s="19" t="s">
        <v>163</v>
      </c>
      <c r="H54" s="19"/>
    </row>
    <row r="55" customFormat="false" ht="18" hidden="false" customHeight="true" outlineLevel="0" collapsed="false">
      <c r="A55" s="19" t="s">
        <v>396</v>
      </c>
      <c r="B55" s="29" t="s">
        <v>397</v>
      </c>
      <c r="C55" s="26" t="n">
        <v>0</v>
      </c>
      <c r="D55" s="16" t="s">
        <v>109</v>
      </c>
      <c r="E55" s="27" t="n">
        <f aca="false">IF(D55="Sí",C55,0)</f>
        <v>0</v>
      </c>
      <c r="F55" s="19" t="s">
        <v>398</v>
      </c>
      <c r="G55" s="19" t="s">
        <v>163</v>
      </c>
      <c r="H55" s="19"/>
    </row>
    <row r="56" customFormat="false" ht="18" hidden="false" customHeight="true" outlineLevel="0" collapsed="false">
      <c r="A56" s="19" t="s">
        <v>399</v>
      </c>
      <c r="B56" s="29" t="s">
        <v>400</v>
      </c>
      <c r="C56" s="26" t="n">
        <v>0</v>
      </c>
      <c r="D56" s="16" t="s">
        <v>109</v>
      </c>
      <c r="E56" s="27" t="n">
        <f aca="false">IF(D56="Sí",C56,0)</f>
        <v>0</v>
      </c>
      <c r="F56" s="19" t="s">
        <v>401</v>
      </c>
      <c r="G56" s="19" t="s">
        <v>163</v>
      </c>
      <c r="H56" s="19" t="s">
        <v>402</v>
      </c>
    </row>
    <row r="57" customFormat="false" ht="18" hidden="false" customHeight="true" outlineLevel="0" collapsed="false">
      <c r="A57" s="19" t="s">
        <v>403</v>
      </c>
      <c r="B57" s="29" t="s">
        <v>404</v>
      </c>
      <c r="C57" s="26" t="n">
        <v>0</v>
      </c>
      <c r="D57" s="16" t="s">
        <v>109</v>
      </c>
      <c r="E57" s="27" t="n">
        <f aca="false">IF(D57="Sí",C57,0)</f>
        <v>0</v>
      </c>
      <c r="F57" s="19" t="s">
        <v>405</v>
      </c>
      <c r="G57" s="19" t="s">
        <v>163</v>
      </c>
      <c r="H57" s="19"/>
    </row>
    <row r="58" customFormat="false" ht="18" hidden="false" customHeight="true" outlineLevel="0" collapsed="false">
      <c r="A58" s="19" t="s">
        <v>406</v>
      </c>
      <c r="B58" s="29" t="s">
        <v>407</v>
      </c>
      <c r="C58" s="26" t="n">
        <v>0</v>
      </c>
      <c r="D58" s="16" t="s">
        <v>109</v>
      </c>
      <c r="E58" s="27" t="n">
        <f aca="false">IF(D58="Sí",C58,0)</f>
        <v>0</v>
      </c>
      <c r="F58" s="19" t="s">
        <v>408</v>
      </c>
      <c r="G58" s="19" t="s">
        <v>163</v>
      </c>
      <c r="H58" s="19" t="s">
        <v>369</v>
      </c>
    </row>
    <row r="59" customFormat="false" ht="18" hidden="false" customHeight="true" outlineLevel="0" collapsed="false">
      <c r="A59" s="19" t="s">
        <v>409</v>
      </c>
      <c r="B59" s="29" t="s">
        <v>410</v>
      </c>
      <c r="C59" s="26" t="n">
        <v>0</v>
      </c>
      <c r="D59" s="16" t="s">
        <v>109</v>
      </c>
      <c r="E59" s="27" t="n">
        <f aca="false">IF(D59="Sí",C59,0)</f>
        <v>0</v>
      </c>
      <c r="F59" s="19" t="s">
        <v>411</v>
      </c>
      <c r="G59" s="19" t="s">
        <v>163</v>
      </c>
      <c r="H59" s="19"/>
    </row>
    <row r="60" customFormat="false" ht="18" hidden="false" customHeight="true" outlineLevel="0" collapsed="false">
      <c r="A60" s="19" t="s">
        <v>412</v>
      </c>
      <c r="B60" s="29" t="s">
        <v>413</v>
      </c>
      <c r="C60" s="26" t="n">
        <v>0</v>
      </c>
      <c r="D60" s="16" t="s">
        <v>109</v>
      </c>
      <c r="E60" s="27" t="n">
        <f aca="false">IF(D60="Sí",C60,0)</f>
        <v>0</v>
      </c>
      <c r="F60" s="19" t="s">
        <v>414</v>
      </c>
      <c r="G60" s="19" t="s">
        <v>163</v>
      </c>
      <c r="H60" s="19" t="s">
        <v>376</v>
      </c>
    </row>
    <row r="61" customFormat="false" ht="18" hidden="false" customHeight="true" outlineLevel="0" collapsed="false">
      <c r="A61" s="19" t="s">
        <v>415</v>
      </c>
      <c r="B61" s="29" t="s">
        <v>416</v>
      </c>
      <c r="C61" s="26" t="n">
        <v>0</v>
      </c>
      <c r="D61" s="16" t="s">
        <v>109</v>
      </c>
      <c r="E61" s="27" t="n">
        <f aca="false">IF(D61="Sí",C61,0)</f>
        <v>0</v>
      </c>
      <c r="F61" s="19" t="s">
        <v>417</v>
      </c>
      <c r="G61" s="19" t="s">
        <v>163</v>
      </c>
      <c r="H61" s="19"/>
    </row>
    <row r="62" customFormat="false" ht="18" hidden="false" customHeight="true" outlineLevel="0" collapsed="false">
      <c r="A62" s="19" t="s">
        <v>418</v>
      </c>
      <c r="B62" s="29" t="s">
        <v>419</v>
      </c>
      <c r="C62" s="26" t="n">
        <v>0</v>
      </c>
      <c r="D62" s="16" t="s">
        <v>109</v>
      </c>
      <c r="E62" s="27" t="n">
        <f aca="false">IF(D62="Sí",C62,0)</f>
        <v>0</v>
      </c>
      <c r="F62" s="19" t="s">
        <v>420</v>
      </c>
      <c r="G62" s="19" t="s">
        <v>163</v>
      </c>
      <c r="H62" s="19" t="s">
        <v>421</v>
      </c>
    </row>
    <row r="63" customFormat="false" ht="18" hidden="false" customHeight="true" outlineLevel="0" collapsed="false">
      <c r="A63" s="19" t="s">
        <v>422</v>
      </c>
      <c r="B63" s="29" t="s">
        <v>423</v>
      </c>
      <c r="C63" s="26" t="n">
        <v>0</v>
      </c>
      <c r="D63" s="16" t="s">
        <v>109</v>
      </c>
      <c r="E63" s="27" t="n">
        <f aca="false">IF(D63="Sí",C63,0)</f>
        <v>0</v>
      </c>
      <c r="F63" s="19" t="s">
        <v>424</v>
      </c>
      <c r="G63" s="19" t="s">
        <v>163</v>
      </c>
      <c r="H63" s="19" t="s">
        <v>425</v>
      </c>
    </row>
    <row r="64" customFormat="false" ht="18" hidden="false" customHeight="true" outlineLevel="0" collapsed="false">
      <c r="A64" s="19" t="s">
        <v>426</v>
      </c>
      <c r="B64" s="29" t="s">
        <v>427</v>
      </c>
      <c r="C64" s="26" t="n">
        <v>0</v>
      </c>
      <c r="D64" s="16" t="s">
        <v>109</v>
      </c>
      <c r="E64" s="27" t="n">
        <f aca="false">IF(D64="Sí",C64,0)</f>
        <v>0</v>
      </c>
      <c r="F64" s="19" t="s">
        <v>428</v>
      </c>
      <c r="G64" s="19" t="s">
        <v>163</v>
      </c>
      <c r="H64" s="19" t="s">
        <v>429</v>
      </c>
    </row>
    <row r="65" customFormat="false" ht="18" hidden="false" customHeight="true" outlineLevel="0" collapsed="false">
      <c r="A65" s="19" t="s">
        <v>430</v>
      </c>
      <c r="B65" s="29" t="s">
        <v>431</v>
      </c>
      <c r="C65" s="26" t="n">
        <v>0</v>
      </c>
      <c r="D65" s="16" t="s">
        <v>109</v>
      </c>
      <c r="E65" s="27" t="n">
        <f aca="false">IF(D65="Sí",C65,0)</f>
        <v>0</v>
      </c>
      <c r="F65" s="19" t="s">
        <v>432</v>
      </c>
      <c r="G65" s="19" t="s">
        <v>163</v>
      </c>
      <c r="H65" s="19" t="s">
        <v>433</v>
      </c>
    </row>
  </sheetData>
  <mergeCells count="1">
    <mergeCell ref="A2:I2"/>
  </mergeCells>
  <dataValidations count="2">
    <dataValidation allowBlank="false" errorStyle="stop" operator="between" showDropDown="false" showErrorMessage="false" showInputMessage="false" sqref="E5:E9 E14:E20 E23:E40 D45:D65" type="list">
      <formula1>"Sí,No"</formula1>
      <formula2>0</formula2>
    </dataValidation>
    <dataValidation allowBlank="false" errorStyle="stop" operator="between" showDropDown="false" showErrorMessage="false" showInputMessage="false" sqref="D13" type="list">
      <formula1>"FNA,220"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5" min="3" style="0" width="9"/>
    <col collapsed="false" customWidth="true" hidden="false" outlineLevel="0" max="7" min="6" style="0" width="12"/>
    <col collapsed="false" customWidth="true" hidden="false" outlineLevel="0" max="8" min="8" style="0" width="60"/>
    <col collapsed="false" customWidth="true" hidden="false" outlineLevel="0" max="9" min="9" style="0" width="8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" t="s">
        <v>434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4" hidden="false" customHeight="true" outlineLevel="0" collapsed="false">
      <c r="A2" s="15" t="s">
        <v>435</v>
      </c>
      <c r="B2" s="15"/>
      <c r="C2" s="15"/>
      <c r="D2" s="15"/>
      <c r="E2" s="15"/>
      <c r="F2" s="15"/>
      <c r="G2" s="15"/>
      <c r="H2" s="15"/>
      <c r="I2" s="15"/>
      <c r="J2" s="19" t="str">
        <f aca="false">HYPERLINK("#'01_INICIO'!A1","← Volver a 01_INICIO")</f>
        <v>← Volver a 01_INICIO</v>
      </c>
    </row>
    <row r="4" customFormat="false" ht="22.35" hidden="false" customHeight="false" outlineLevel="0" collapsed="false">
      <c r="A4" s="2" t="s">
        <v>436</v>
      </c>
      <c r="B4" s="2" t="s">
        <v>437</v>
      </c>
      <c r="C4" s="2" t="s">
        <v>438</v>
      </c>
      <c r="D4" s="2" t="s">
        <v>439</v>
      </c>
      <c r="E4" s="2" t="s">
        <v>440</v>
      </c>
      <c r="F4" s="2" t="s">
        <v>441</v>
      </c>
      <c r="G4" s="2" t="s">
        <v>148</v>
      </c>
      <c r="H4" s="2" t="s">
        <v>442</v>
      </c>
      <c r="I4" s="2" t="s">
        <v>443</v>
      </c>
      <c r="J4" s="2" t="s">
        <v>444</v>
      </c>
    </row>
    <row r="5" customFormat="false" ht="24" hidden="false" customHeight="true" outlineLevel="0" collapsed="false">
      <c r="A5" s="19" t="s">
        <v>445</v>
      </c>
      <c r="B5" s="16" t="s">
        <v>446</v>
      </c>
      <c r="C5" s="23" t="n">
        <v>12</v>
      </c>
      <c r="D5" s="16" t="s">
        <v>105</v>
      </c>
      <c r="E5" s="16" t="s">
        <v>105</v>
      </c>
      <c r="F5" s="16" t="s">
        <v>105</v>
      </c>
      <c r="G5" s="19" t="s">
        <v>447</v>
      </c>
      <c r="H5" s="19" t="s">
        <v>448</v>
      </c>
      <c r="I5" s="33" t="n">
        <f aca="false">IF(AND(OR(D5="Sí",E5="Sí"),F5="Sí"),1,0)</f>
        <v>1</v>
      </c>
      <c r="J5" s="13" t="str">
        <f aca="false">IF(AND(OR(D5="Sí",E5="Sí"),F5&lt;&gt;"Sí"),"BLOQUEO: exige renta laboral",IF(AND(OR(D5="Sí",E5="Sí"),G5&lt;&gt;"Disponible"),"PENDIENTE SOPORTE","OK"))</f>
        <v>OK</v>
      </c>
    </row>
    <row r="6" customFormat="false" ht="24" hidden="false" customHeight="true" outlineLevel="0" collapsed="false">
      <c r="A6" s="19" t="s">
        <v>449</v>
      </c>
      <c r="B6" s="16"/>
      <c r="C6" s="23" t="n">
        <v>0</v>
      </c>
      <c r="D6" s="16" t="s">
        <v>109</v>
      </c>
      <c r="E6" s="16" t="s">
        <v>109</v>
      </c>
      <c r="F6" s="16" t="s">
        <v>105</v>
      </c>
      <c r="G6" s="19" t="s">
        <v>277</v>
      </c>
      <c r="H6" s="19" t="s">
        <v>450</v>
      </c>
      <c r="I6" s="33" t="n">
        <f aca="false">IF(AND(OR(D6="Sí",E6="Sí"),F6="Sí"),1,0)</f>
        <v>0</v>
      </c>
      <c r="J6" s="13" t="str">
        <f aca="false">IF(AND(OR(D6="Sí",E6="Sí"),F6&lt;&gt;"Sí"),"BLOQUEO: exige renta laboral",IF(AND(OR(D6="Sí",E6="Sí"),G6&lt;&gt;"Disponible"),"PENDIENTE SOPORTE","OK"))</f>
        <v>OK</v>
      </c>
    </row>
    <row r="7" customFormat="false" ht="24" hidden="false" customHeight="true" outlineLevel="0" collapsed="false">
      <c r="A7" s="19" t="s">
        <v>451</v>
      </c>
      <c r="B7" s="16"/>
      <c r="C7" s="23" t="n">
        <v>0</v>
      </c>
      <c r="D7" s="16" t="s">
        <v>109</v>
      </c>
      <c r="E7" s="16" t="s">
        <v>109</v>
      </c>
      <c r="F7" s="16" t="s">
        <v>105</v>
      </c>
      <c r="G7" s="19" t="s">
        <v>277</v>
      </c>
      <c r="H7" s="19" t="s">
        <v>450</v>
      </c>
      <c r="I7" s="33" t="n">
        <f aca="false">IF(AND(OR(D7="Sí",E7="Sí"),F7="Sí"),1,0)</f>
        <v>0</v>
      </c>
      <c r="J7" s="13" t="str">
        <f aca="false">IF(AND(OR(D7="Sí",E7="Sí"),F7&lt;&gt;"Sí"),"BLOQUEO: exige renta laboral",IF(AND(OR(D7="Sí",E7="Sí"),G7&lt;&gt;"Disponible"),"PENDIENTE SOPORTE","OK"))</f>
        <v>OK</v>
      </c>
    </row>
    <row r="8" customFormat="false" ht="24" hidden="false" customHeight="true" outlineLevel="0" collapsed="false">
      <c r="A8" s="19" t="s">
        <v>452</v>
      </c>
      <c r="B8" s="16"/>
      <c r="C8" s="23" t="n">
        <v>0</v>
      </c>
      <c r="D8" s="16" t="s">
        <v>109</v>
      </c>
      <c r="E8" s="16" t="s">
        <v>109</v>
      </c>
      <c r="F8" s="16" t="s">
        <v>105</v>
      </c>
      <c r="G8" s="19" t="s">
        <v>277</v>
      </c>
      <c r="H8" s="19" t="s">
        <v>450</v>
      </c>
      <c r="I8" s="33" t="n">
        <f aca="false">IF(AND(OR(D8="Sí",E8="Sí"),F8="Sí"),1,0)</f>
        <v>0</v>
      </c>
      <c r="J8" s="13" t="str">
        <f aca="false">IF(AND(OR(D8="Sí",E8="Sí"),F8&lt;&gt;"Sí"),"BLOQUEO: exige renta laboral",IF(AND(OR(D8="Sí",E8="Sí"),G8&lt;&gt;"Disponible"),"PENDIENTE SOPORTE","OK"))</f>
        <v>OK</v>
      </c>
    </row>
    <row r="9" customFormat="false" ht="24" hidden="false" customHeight="true" outlineLevel="0" collapsed="false">
      <c r="A9" s="19" t="s">
        <v>453</v>
      </c>
      <c r="B9" s="16"/>
      <c r="C9" s="23" t="n">
        <v>0</v>
      </c>
      <c r="D9" s="16" t="s">
        <v>109</v>
      </c>
      <c r="E9" s="16" t="s">
        <v>109</v>
      </c>
      <c r="F9" s="16" t="s">
        <v>105</v>
      </c>
      <c r="G9" s="19" t="s">
        <v>277</v>
      </c>
      <c r="H9" s="19" t="s">
        <v>450</v>
      </c>
      <c r="I9" s="33" t="n">
        <f aca="false">IF(AND(OR(D9="Sí",E9="Sí"),F9="Sí"),1,0)</f>
        <v>0</v>
      </c>
      <c r="J9" s="13" t="str">
        <f aca="false">IF(AND(OR(D9="Sí",E9="Sí"),F9&lt;&gt;"Sí"),"BLOQUEO: exige renta laboral",IF(AND(OR(D9="Sí",E9="Sí"),G9&lt;&gt;"Disponible"),"PENDIENTE SOPORTE","OK"))</f>
        <v>OK</v>
      </c>
    </row>
    <row r="10" customFormat="false" ht="24" hidden="false" customHeight="true" outlineLevel="0" collapsed="false">
      <c r="A10" s="19" t="s">
        <v>454</v>
      </c>
      <c r="B10" s="16"/>
      <c r="C10" s="23" t="n">
        <v>0</v>
      </c>
      <c r="D10" s="16" t="s">
        <v>109</v>
      </c>
      <c r="E10" s="16" t="s">
        <v>109</v>
      </c>
      <c r="F10" s="16" t="s">
        <v>105</v>
      </c>
      <c r="G10" s="19" t="s">
        <v>277</v>
      </c>
      <c r="H10" s="19" t="s">
        <v>450</v>
      </c>
      <c r="I10" s="33" t="n">
        <f aca="false">IF(AND(OR(D10="Sí",E10="Sí"),F10="Sí"),1,0)</f>
        <v>0</v>
      </c>
      <c r="J10" s="13" t="str">
        <f aca="false">IF(AND(OR(D10="Sí",E10="Sí"),F10&lt;&gt;"Sí"),"BLOQUEO: exige renta laboral",IF(AND(OR(D10="Sí",E10="Sí"),G10&lt;&gt;"Disponible"),"PENDIENTE SOPORTE","OK"))</f>
        <v>OK</v>
      </c>
    </row>
    <row r="11" customFormat="false" ht="24" hidden="false" customHeight="true" outlineLevel="0" collapsed="false">
      <c r="A11" s="19" t="s">
        <v>455</v>
      </c>
      <c r="B11" s="16"/>
      <c r="C11" s="23" t="n">
        <v>0</v>
      </c>
      <c r="D11" s="16" t="s">
        <v>109</v>
      </c>
      <c r="E11" s="16" t="s">
        <v>109</v>
      </c>
      <c r="F11" s="16" t="s">
        <v>105</v>
      </c>
      <c r="G11" s="19" t="s">
        <v>277</v>
      </c>
      <c r="H11" s="19" t="s">
        <v>450</v>
      </c>
      <c r="I11" s="33" t="n">
        <f aca="false">IF(AND(OR(D11="Sí",E11="Sí"),F11="Sí"),1,0)</f>
        <v>0</v>
      </c>
      <c r="J11" s="13" t="str">
        <f aca="false">IF(AND(OR(D11="Sí",E11="Sí"),F11&lt;&gt;"Sí"),"BLOQUEO: exige renta laboral",IF(AND(OR(D11="Sí",E11="Sí"),G11&lt;&gt;"Disponible"),"PENDIENTE SOPORTE","OK"))</f>
        <v>OK</v>
      </c>
    </row>
    <row r="12" customFormat="false" ht="24" hidden="false" customHeight="true" outlineLevel="0" collapsed="false">
      <c r="A12" s="19" t="s">
        <v>456</v>
      </c>
      <c r="B12" s="16"/>
      <c r="C12" s="23" t="n">
        <v>0</v>
      </c>
      <c r="D12" s="16" t="s">
        <v>109</v>
      </c>
      <c r="E12" s="16" t="s">
        <v>109</v>
      </c>
      <c r="F12" s="16" t="s">
        <v>105</v>
      </c>
      <c r="G12" s="19" t="s">
        <v>277</v>
      </c>
      <c r="H12" s="19" t="s">
        <v>450</v>
      </c>
      <c r="I12" s="33" t="n">
        <f aca="false">IF(AND(OR(D12="Sí",E12="Sí"),F12="Sí"),1,0)</f>
        <v>0</v>
      </c>
      <c r="J12" s="13" t="str">
        <f aca="false">IF(AND(OR(D12="Sí",E12="Sí"),F12&lt;&gt;"Sí"),"BLOQUEO: exige renta laboral",IF(AND(OR(D12="Sí",E12="Sí"),G12&lt;&gt;"Disponible"),"PENDIENTE SOPORTE","OK"))</f>
        <v>OK</v>
      </c>
    </row>
    <row r="15" customFormat="false" ht="15" hidden="false" customHeight="false" outlineLevel="0" collapsed="false">
      <c r="A15" s="7" t="s">
        <v>457</v>
      </c>
      <c r="B15" s="7"/>
      <c r="C15" s="7"/>
      <c r="D15" s="7"/>
    </row>
    <row r="16" customFormat="false" ht="15" hidden="false" customHeight="false" outlineLevel="0" collapsed="false">
      <c r="A16" s="2" t="s">
        <v>143</v>
      </c>
      <c r="B16" s="2" t="s">
        <v>67</v>
      </c>
      <c r="C16" s="2" t="s">
        <v>458</v>
      </c>
    </row>
    <row r="17" customFormat="false" ht="53.7" hidden="false" customHeight="false" outlineLevel="0" collapsed="false">
      <c r="A17" s="20" t="s">
        <v>459</v>
      </c>
      <c r="B17" s="33" t="n">
        <f aca="false">SUM(I5:I12)</f>
        <v>1</v>
      </c>
      <c r="C17" s="19" t="s">
        <v>460</v>
      </c>
    </row>
    <row r="18" customFormat="false" ht="53.7" hidden="false" customHeight="false" outlineLevel="0" collapsed="false">
      <c r="A18" s="20" t="s">
        <v>461</v>
      </c>
      <c r="B18" s="33" t="n">
        <f aca="false">MIN(16_PARAMETROS!$C$15,SUMPRODUCT((E5:E12="Sí")*(F5:F12="Sí")))</f>
        <v>1</v>
      </c>
      <c r="C18" s="19" t="s">
        <v>462</v>
      </c>
    </row>
    <row r="19" customFormat="false" ht="74.6" hidden="false" customHeight="false" outlineLevel="0" collapsed="false">
      <c r="A19" s="20" t="s">
        <v>463</v>
      </c>
      <c r="B19" s="33" t="n">
        <f aca="false">MAX(IF(AND(D5="Sí",F5="Sí"),C5,0),IF(AND(D6="Sí",F6="Sí"),C6,0),IF(AND(D7="Sí",F7="Sí"),C7,0),IF(AND(D8="Sí",F8="Sí"),C8,0),IF(AND(D9="Sí",F9="Sí"),C9,0),IF(AND(D10="Sí",F10="Sí"),C10,0),IF(AND(D11="Sí",F11="Sí"),C11,0),IF(AND(D12="Sí",F12="Sí"),C12,0))</f>
        <v>12</v>
      </c>
      <c r="C19" s="19" t="s">
        <v>464</v>
      </c>
    </row>
    <row r="20" customFormat="false" ht="32.8" hidden="false" customHeight="false" outlineLevel="0" collapsed="false">
      <c r="A20" s="20" t="s">
        <v>465</v>
      </c>
      <c r="B20" s="33" t="n">
        <f aca="false">SUMPRODUCT((D5:D12="Sí")*(F5:F12="Sí"))</f>
        <v>1</v>
      </c>
    </row>
  </sheetData>
  <mergeCells count="1">
    <mergeCell ref="A2:I2"/>
  </mergeCells>
  <dataValidations count="1">
    <dataValidation allowBlank="false" errorStyle="stop" operator="between" showDropDown="false" showErrorMessage="false" showInputMessage="false" sqref="D5:F12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N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42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8" min="7" style="0" width="15"/>
    <col collapsed="false" customWidth="true" hidden="false" outlineLevel="0" max="9" min="9" style="0" width="8"/>
    <col collapsed="false" customWidth="true" hidden="false" outlineLevel="0" max="10" min="10" style="0" width="13"/>
    <col collapsed="false" customWidth="true" hidden="false" outlineLevel="0" max="11" min="11" style="0" width="26"/>
    <col collapsed="false" customWidth="true" hidden="false" outlineLevel="0" max="13" min="12" style="0" width="14"/>
    <col collapsed="false" customWidth="true" hidden="false" outlineLevel="0" max="14" min="14" style="0" width="52"/>
  </cols>
  <sheetData>
    <row r="1" customFormat="false" ht="17.35" hidden="false" customHeight="false" outlineLevel="0" collapsed="false">
      <c r="A1" s="1" t="s">
        <v>466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4" hidden="false" customHeight="true" outlineLevel="0" collapsed="false">
      <c r="A2" s="15" t="s">
        <v>467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9" t="str">
        <f aca="false">HYPERLINK("#'01_INICIO'!A1","← Volver a 01_INICIO")</f>
        <v>← Volver a 01_INICIO</v>
      </c>
    </row>
    <row r="4" customFormat="false" ht="22.35" hidden="false" customHeight="false" outlineLevel="0" collapsed="false">
      <c r="A4" s="2" t="s">
        <v>139</v>
      </c>
      <c r="B4" s="2" t="s">
        <v>468</v>
      </c>
      <c r="C4" s="2" t="s">
        <v>469</v>
      </c>
      <c r="D4" s="2" t="s">
        <v>470</v>
      </c>
      <c r="E4" s="2" t="s">
        <v>471</v>
      </c>
      <c r="F4" s="2" t="s">
        <v>472</v>
      </c>
      <c r="G4" s="2" t="s">
        <v>473</v>
      </c>
      <c r="H4" s="2" t="s">
        <v>474</v>
      </c>
      <c r="I4" s="2" t="s">
        <v>147</v>
      </c>
      <c r="J4" s="2" t="s">
        <v>148</v>
      </c>
      <c r="K4" s="2" t="s">
        <v>69</v>
      </c>
      <c r="L4" s="2" t="s">
        <v>475</v>
      </c>
      <c r="M4" s="2" t="s">
        <v>476</v>
      </c>
      <c r="N4" s="2" t="s">
        <v>150</v>
      </c>
    </row>
    <row r="5" customFormat="false" ht="25.5" hidden="false" customHeight="true" outlineLevel="0" collapsed="false">
      <c r="A5" s="19" t="n">
        <v>1</v>
      </c>
      <c r="B5" s="16" t="s">
        <v>477</v>
      </c>
      <c r="C5" s="19" t="s">
        <v>478</v>
      </c>
      <c r="D5" s="29" t="s">
        <v>479</v>
      </c>
      <c r="E5" s="26" t="n">
        <v>25000000</v>
      </c>
      <c r="F5" s="32" t="n">
        <v>1</v>
      </c>
      <c r="G5" s="26" t="n">
        <v>0</v>
      </c>
      <c r="H5" s="27" t="n">
        <f aca="false">IF(I5&lt;&gt;"Sí",0,IF(B5="Deuda",IF(G5=0,E5*F5,G5),MAX(E5*F5,G5)))</f>
        <v>25000000</v>
      </c>
      <c r="I5" s="16" t="s">
        <v>105</v>
      </c>
      <c r="J5" s="19" t="s">
        <v>155</v>
      </c>
      <c r="K5" s="19" t="s">
        <v>480</v>
      </c>
      <c r="L5" s="34" t="n">
        <v>18000000</v>
      </c>
      <c r="M5" s="35" t="n">
        <f aca="false">IF(I5="Sí",H5,0)-L5</f>
        <v>7000000</v>
      </c>
      <c r="N5" s="19"/>
    </row>
    <row r="6" customFormat="false" ht="25.5" hidden="false" customHeight="true" outlineLevel="0" collapsed="false">
      <c r="A6" s="19" t="n">
        <v>2</v>
      </c>
      <c r="B6" s="16" t="s">
        <v>477</v>
      </c>
      <c r="C6" s="19" t="s">
        <v>478</v>
      </c>
      <c r="D6" s="29" t="s">
        <v>481</v>
      </c>
      <c r="E6" s="26" t="n">
        <v>15000000</v>
      </c>
      <c r="F6" s="32" t="n">
        <v>1</v>
      </c>
      <c r="G6" s="26" t="n">
        <v>0</v>
      </c>
      <c r="H6" s="27" t="n">
        <f aca="false">IF(I6&lt;&gt;"Sí",0,IF(B6="Deuda",IF(G6=0,E6*F6,G6),MAX(E6*F6,G6)))</f>
        <v>15000000</v>
      </c>
      <c r="I6" s="16" t="s">
        <v>105</v>
      </c>
      <c r="J6" s="19" t="s">
        <v>155</v>
      </c>
      <c r="K6" s="19" t="s">
        <v>480</v>
      </c>
      <c r="L6" s="34" t="n">
        <v>10000000</v>
      </c>
      <c r="M6" s="35" t="n">
        <f aca="false">IF(I6="Sí",H6,0)-L6</f>
        <v>5000000</v>
      </c>
      <c r="N6" s="19"/>
    </row>
    <row r="7" customFormat="false" ht="25.5" hidden="false" customHeight="true" outlineLevel="0" collapsed="false">
      <c r="A7" s="19" t="n">
        <v>3</v>
      </c>
      <c r="B7" s="16" t="s">
        <v>477</v>
      </c>
      <c r="C7" s="19" t="s">
        <v>482</v>
      </c>
      <c r="D7" s="29" t="s">
        <v>483</v>
      </c>
      <c r="E7" s="26" t="n">
        <v>10000000</v>
      </c>
      <c r="F7" s="32" t="n">
        <v>1</v>
      </c>
      <c r="G7" s="26" t="n">
        <v>0</v>
      </c>
      <c r="H7" s="27" t="n">
        <f aca="false">IF(I7&lt;&gt;"Sí",0,IF(B7="Deuda",IF(G7=0,E7*F7,G7),MAX(E7*F7,G7)))</f>
        <v>10000000</v>
      </c>
      <c r="I7" s="16" t="s">
        <v>105</v>
      </c>
      <c r="J7" s="19" t="s">
        <v>155</v>
      </c>
      <c r="K7" s="19" t="s">
        <v>193</v>
      </c>
      <c r="L7" s="34" t="n">
        <v>8000000</v>
      </c>
      <c r="M7" s="35" t="n">
        <f aca="false">IF(I7="Sí",H7,0)-L7</f>
        <v>2000000</v>
      </c>
      <c r="N7" s="19"/>
    </row>
    <row r="8" customFormat="false" ht="25.5" hidden="false" customHeight="true" outlineLevel="0" collapsed="false">
      <c r="A8" s="19" t="n">
        <v>4</v>
      </c>
      <c r="B8" s="16" t="s">
        <v>477</v>
      </c>
      <c r="C8" s="19" t="s">
        <v>484</v>
      </c>
      <c r="D8" s="29" t="s">
        <v>485</v>
      </c>
      <c r="E8" s="26" t="n">
        <v>320000000</v>
      </c>
      <c r="F8" s="32" t="n">
        <v>0.5</v>
      </c>
      <c r="G8" s="26" t="n">
        <v>180000000</v>
      </c>
      <c r="H8" s="27" t="n">
        <f aca="false">IF(I8&lt;&gt;"Sí",0,IF(B8="Deuda",IF(G8=0,E8*F8,G8),MAX(E8*F8,G8)))</f>
        <v>180000000</v>
      </c>
      <c r="I8" s="16" t="s">
        <v>105</v>
      </c>
      <c r="J8" s="19" t="s">
        <v>155</v>
      </c>
      <c r="K8" s="19" t="s">
        <v>486</v>
      </c>
      <c r="L8" s="34" t="n">
        <v>175000000</v>
      </c>
      <c r="M8" s="35" t="n">
        <f aca="false">IF(I8="Sí",H8,0)-L8</f>
        <v>5000000</v>
      </c>
      <c r="N8" s="19" t="s">
        <v>487</v>
      </c>
    </row>
    <row r="9" customFormat="false" ht="25.5" hidden="false" customHeight="true" outlineLevel="0" collapsed="false">
      <c r="A9" s="19" t="n">
        <v>5</v>
      </c>
      <c r="B9" s="16" t="s">
        <v>477</v>
      </c>
      <c r="C9" s="19" t="s">
        <v>488</v>
      </c>
      <c r="D9" s="29" t="s">
        <v>489</v>
      </c>
      <c r="E9" s="26" t="n">
        <v>45000000</v>
      </c>
      <c r="F9" s="32" t="n">
        <v>1</v>
      </c>
      <c r="G9" s="26" t="n">
        <v>0</v>
      </c>
      <c r="H9" s="27" t="n">
        <f aca="false">IF(I9&lt;&gt;"Sí",0,IF(B9="Deuda",IF(G9=0,E9*F9,G9),MAX(E9*F9,G9)))</f>
        <v>45000000</v>
      </c>
      <c r="I9" s="16" t="s">
        <v>105</v>
      </c>
      <c r="J9" s="19" t="s">
        <v>155</v>
      </c>
      <c r="K9" s="19" t="s">
        <v>490</v>
      </c>
      <c r="L9" s="34" t="n">
        <v>45000000</v>
      </c>
      <c r="M9" s="35" t="n">
        <f aca="false">IF(I9="Sí",H9,0)-L9</f>
        <v>0</v>
      </c>
      <c r="N9" s="19" t="s">
        <v>491</v>
      </c>
    </row>
    <row r="10" customFormat="false" ht="25.5" hidden="false" customHeight="true" outlineLevel="0" collapsed="false">
      <c r="A10" s="19" t="n">
        <v>6</v>
      </c>
      <c r="B10" s="16" t="s">
        <v>477</v>
      </c>
      <c r="C10" s="19" t="s">
        <v>492</v>
      </c>
      <c r="D10" s="29" t="s">
        <v>493</v>
      </c>
      <c r="E10" s="26" t="n">
        <v>20000000</v>
      </c>
      <c r="F10" s="32" t="n">
        <v>1</v>
      </c>
      <c r="G10" s="26" t="n">
        <v>0</v>
      </c>
      <c r="H10" s="27" t="n">
        <f aca="false">IF(I10&lt;&gt;"Sí",0,IF(B10="Deuda",IF(G10=0,E10*F10,G10),MAX(E10*F10,G10)))</f>
        <v>20000000</v>
      </c>
      <c r="I10" s="16" t="s">
        <v>105</v>
      </c>
      <c r="J10" s="19" t="s">
        <v>155</v>
      </c>
      <c r="K10" s="19" t="s">
        <v>494</v>
      </c>
      <c r="L10" s="34" t="n">
        <v>20000000</v>
      </c>
      <c r="M10" s="35" t="n">
        <f aca="false">IF(I10="Sí",H10,0)-L10</f>
        <v>0</v>
      </c>
      <c r="N10" s="19"/>
    </row>
    <row r="11" customFormat="false" ht="25.5" hidden="false" customHeight="true" outlineLevel="0" collapsed="false">
      <c r="A11" s="19" t="n">
        <v>7</v>
      </c>
      <c r="B11" s="16" t="s">
        <v>477</v>
      </c>
      <c r="C11" s="19" t="s">
        <v>495</v>
      </c>
      <c r="D11" s="29" t="s">
        <v>496</v>
      </c>
      <c r="E11" s="26" t="n">
        <v>2000000</v>
      </c>
      <c r="F11" s="32" t="n">
        <v>1</v>
      </c>
      <c r="G11" s="26" t="n">
        <v>0</v>
      </c>
      <c r="H11" s="27" t="n">
        <f aca="false">IF(I11&lt;&gt;"Sí",0,IF(B11="Deuda",IF(G11=0,E11*F11,G11),MAX(E11*F11,G11)))</f>
        <v>2000000</v>
      </c>
      <c r="I11" s="16" t="s">
        <v>105</v>
      </c>
      <c r="J11" s="19" t="s">
        <v>155</v>
      </c>
      <c r="K11" s="19" t="s">
        <v>497</v>
      </c>
      <c r="L11" s="34" t="n">
        <v>2000000</v>
      </c>
      <c r="M11" s="35" t="n">
        <f aca="false">IF(I11="Sí",H11,0)-L11</f>
        <v>0</v>
      </c>
      <c r="N11" s="19" t="s">
        <v>498</v>
      </c>
    </row>
    <row r="12" customFormat="false" ht="25.5" hidden="false" customHeight="true" outlineLevel="0" collapsed="false">
      <c r="A12" s="19" t="n">
        <v>8</v>
      </c>
      <c r="B12" s="16" t="s">
        <v>499</v>
      </c>
      <c r="C12" s="19" t="s">
        <v>500</v>
      </c>
      <c r="D12" s="29" t="s">
        <v>501</v>
      </c>
      <c r="E12" s="26" t="n">
        <v>120000000</v>
      </c>
      <c r="F12" s="32" t="n">
        <v>0.5</v>
      </c>
      <c r="G12" s="26" t="n">
        <v>0</v>
      </c>
      <c r="H12" s="27" t="n">
        <f aca="false">IF(I12&lt;&gt;"Sí",0,IF(B12="Deuda",IF(G12=0,E12*F12,G12),MAX(E12*F12,G12)))</f>
        <v>60000000</v>
      </c>
      <c r="I12" s="16" t="s">
        <v>105</v>
      </c>
      <c r="J12" s="19" t="s">
        <v>155</v>
      </c>
      <c r="K12" s="19" t="s">
        <v>502</v>
      </c>
      <c r="L12" s="34" t="n">
        <v>66000000</v>
      </c>
      <c r="M12" s="35" t="n">
        <f aca="false">IF(I12="Sí",H12,0)-L12</f>
        <v>-6000000</v>
      </c>
      <c r="N12" s="19" t="s">
        <v>503</v>
      </c>
    </row>
    <row r="13" customFormat="false" ht="25.5" hidden="false" customHeight="true" outlineLevel="0" collapsed="false">
      <c r="A13" s="19" t="n">
        <v>9</v>
      </c>
      <c r="B13" s="16" t="s">
        <v>499</v>
      </c>
      <c r="C13" s="19" t="s">
        <v>504</v>
      </c>
      <c r="D13" s="29" t="s">
        <v>505</v>
      </c>
      <c r="E13" s="26" t="n">
        <v>3000000</v>
      </c>
      <c r="F13" s="32" t="n">
        <v>1</v>
      </c>
      <c r="G13" s="26" t="n">
        <v>0</v>
      </c>
      <c r="H13" s="27" t="n">
        <f aca="false">IF(I13&lt;&gt;"Sí",0,IF(B13="Deuda",IF(G13=0,E13*F13,G13),MAX(E13*F13,G13)))</f>
        <v>3000000</v>
      </c>
      <c r="I13" s="16" t="s">
        <v>105</v>
      </c>
      <c r="J13" s="19" t="s">
        <v>155</v>
      </c>
      <c r="K13" s="19" t="s">
        <v>506</v>
      </c>
      <c r="L13" s="34" t="n">
        <v>4000000</v>
      </c>
      <c r="M13" s="35" t="n">
        <f aca="false">IF(I13="Sí",H13,0)-L13</f>
        <v>-1000000</v>
      </c>
      <c r="N13" s="19"/>
    </row>
    <row r="14" customFormat="false" ht="25.5" hidden="false" customHeight="true" outlineLevel="0" collapsed="false">
      <c r="A14" s="19" t="n">
        <v>10</v>
      </c>
      <c r="B14" s="16" t="s">
        <v>477</v>
      </c>
      <c r="C14" s="19" t="s">
        <v>507</v>
      </c>
      <c r="D14" s="29" t="s">
        <v>187</v>
      </c>
      <c r="E14" s="26" t="n">
        <v>0</v>
      </c>
      <c r="F14" s="32" t="n">
        <v>1</v>
      </c>
      <c r="G14" s="26" t="n">
        <v>0</v>
      </c>
      <c r="H14" s="27" t="n">
        <f aca="false">IF(I14&lt;&gt;"Sí",0,IF(B14="Deuda",IF(G14=0,E14*F14,G14),MAX(E14*F14,G14)))</f>
        <v>0</v>
      </c>
      <c r="I14" s="16" t="s">
        <v>109</v>
      </c>
      <c r="J14" s="21" t="s">
        <v>163</v>
      </c>
      <c r="K14" s="19"/>
      <c r="L14" s="34" t="n">
        <v>0</v>
      </c>
      <c r="M14" s="35" t="n">
        <f aca="false">IF(I14="Sí",H14,0)-L14</f>
        <v>0</v>
      </c>
      <c r="N14" s="19"/>
    </row>
    <row r="15" customFormat="false" ht="25.5" hidden="false" customHeight="true" outlineLevel="0" collapsed="false">
      <c r="A15" s="19" t="n">
        <v>11</v>
      </c>
      <c r="B15" s="16" t="s">
        <v>477</v>
      </c>
      <c r="C15" s="19" t="s">
        <v>507</v>
      </c>
      <c r="D15" s="29" t="s">
        <v>187</v>
      </c>
      <c r="E15" s="26" t="n">
        <v>0</v>
      </c>
      <c r="F15" s="32" t="n">
        <v>1</v>
      </c>
      <c r="G15" s="26" t="n">
        <v>0</v>
      </c>
      <c r="H15" s="27" t="n">
        <f aca="false">IF(I15&lt;&gt;"Sí",0,IF(B15="Deuda",IF(G15=0,E15*F15,G15),MAX(E15*F15,G15)))</f>
        <v>0</v>
      </c>
      <c r="I15" s="16" t="s">
        <v>109</v>
      </c>
      <c r="J15" s="21" t="s">
        <v>163</v>
      </c>
      <c r="K15" s="19"/>
      <c r="L15" s="34" t="n">
        <v>0</v>
      </c>
      <c r="M15" s="35" t="n">
        <f aca="false">IF(I15="Sí",H15,0)-L15</f>
        <v>0</v>
      </c>
      <c r="N15" s="19"/>
    </row>
    <row r="16" customFormat="false" ht="25.5" hidden="false" customHeight="true" outlineLevel="0" collapsed="false">
      <c r="A16" s="19" t="n">
        <v>12</v>
      </c>
      <c r="B16" s="16" t="s">
        <v>477</v>
      </c>
      <c r="C16" s="19" t="s">
        <v>507</v>
      </c>
      <c r="D16" s="29" t="s">
        <v>187</v>
      </c>
      <c r="E16" s="26" t="n">
        <v>0</v>
      </c>
      <c r="F16" s="32" t="n">
        <v>1</v>
      </c>
      <c r="G16" s="26" t="n">
        <v>0</v>
      </c>
      <c r="H16" s="27" t="n">
        <f aca="false">IF(I16&lt;&gt;"Sí",0,IF(B16="Deuda",IF(G16=0,E16*F16,G16),MAX(E16*F16,G16)))</f>
        <v>0</v>
      </c>
      <c r="I16" s="16" t="s">
        <v>109</v>
      </c>
      <c r="J16" s="21" t="s">
        <v>163</v>
      </c>
      <c r="K16" s="19"/>
      <c r="L16" s="34" t="n">
        <v>0</v>
      </c>
      <c r="M16" s="35" t="n">
        <f aca="false">IF(I16="Sí",H16,0)-L16</f>
        <v>0</v>
      </c>
      <c r="N16" s="19"/>
    </row>
    <row r="17" customFormat="false" ht="25.5" hidden="false" customHeight="true" outlineLevel="0" collapsed="false">
      <c r="A17" s="19" t="n">
        <v>13</v>
      </c>
      <c r="B17" s="16" t="s">
        <v>477</v>
      </c>
      <c r="C17" s="19" t="s">
        <v>507</v>
      </c>
      <c r="D17" s="29" t="s">
        <v>187</v>
      </c>
      <c r="E17" s="26" t="n">
        <v>0</v>
      </c>
      <c r="F17" s="32" t="n">
        <v>1</v>
      </c>
      <c r="G17" s="26" t="n">
        <v>0</v>
      </c>
      <c r="H17" s="27" t="n">
        <f aca="false">IF(I17&lt;&gt;"Sí",0,IF(B17="Deuda",IF(G17=0,E17*F17,G17),MAX(E17*F17,G17)))</f>
        <v>0</v>
      </c>
      <c r="I17" s="16" t="s">
        <v>109</v>
      </c>
      <c r="J17" s="21" t="s">
        <v>163</v>
      </c>
      <c r="K17" s="19"/>
      <c r="L17" s="34" t="n">
        <v>0</v>
      </c>
      <c r="M17" s="35" t="n">
        <f aca="false">IF(I17="Sí",H17,0)-L17</f>
        <v>0</v>
      </c>
      <c r="N17" s="19"/>
    </row>
    <row r="18" customFormat="false" ht="25.5" hidden="false" customHeight="true" outlineLevel="0" collapsed="false">
      <c r="A18" s="19" t="n">
        <v>14</v>
      </c>
      <c r="B18" s="16" t="s">
        <v>477</v>
      </c>
      <c r="C18" s="19" t="s">
        <v>507</v>
      </c>
      <c r="D18" s="29" t="s">
        <v>187</v>
      </c>
      <c r="E18" s="26" t="n">
        <v>0</v>
      </c>
      <c r="F18" s="32" t="n">
        <v>1</v>
      </c>
      <c r="G18" s="26" t="n">
        <v>0</v>
      </c>
      <c r="H18" s="27" t="n">
        <f aca="false">IF(I18&lt;&gt;"Sí",0,IF(B18="Deuda",IF(G18=0,E18*F18,G18),MAX(E18*F18,G18)))</f>
        <v>0</v>
      </c>
      <c r="I18" s="16" t="s">
        <v>109</v>
      </c>
      <c r="J18" s="21" t="s">
        <v>163</v>
      </c>
      <c r="K18" s="19"/>
      <c r="L18" s="34" t="n">
        <v>0</v>
      </c>
      <c r="M18" s="35" t="n">
        <f aca="false">IF(I18="Sí",H18,0)-L18</f>
        <v>0</v>
      </c>
      <c r="N18" s="19"/>
    </row>
    <row r="19" customFormat="false" ht="25.5" hidden="false" customHeight="true" outlineLevel="0" collapsed="false">
      <c r="A19" s="19" t="n">
        <v>15</v>
      </c>
      <c r="B19" s="16" t="s">
        <v>477</v>
      </c>
      <c r="C19" s="19" t="s">
        <v>507</v>
      </c>
      <c r="D19" s="29" t="s">
        <v>187</v>
      </c>
      <c r="E19" s="26" t="n">
        <v>0</v>
      </c>
      <c r="F19" s="32" t="n">
        <v>1</v>
      </c>
      <c r="G19" s="26" t="n">
        <v>0</v>
      </c>
      <c r="H19" s="27" t="n">
        <f aca="false">IF(I19&lt;&gt;"Sí",0,IF(B19="Deuda",IF(G19=0,E19*F19,G19),MAX(E19*F19,G19)))</f>
        <v>0</v>
      </c>
      <c r="I19" s="16" t="s">
        <v>109</v>
      </c>
      <c r="J19" s="21" t="s">
        <v>163</v>
      </c>
      <c r="K19" s="19"/>
      <c r="L19" s="34" t="n">
        <v>0</v>
      </c>
      <c r="M19" s="35" t="n">
        <f aca="false">IF(I19="Sí",H19,0)-L19</f>
        <v>0</v>
      </c>
      <c r="N19" s="19"/>
    </row>
    <row r="20" customFormat="false" ht="25.5" hidden="false" customHeight="true" outlineLevel="0" collapsed="false">
      <c r="A20" s="19" t="n">
        <v>16</v>
      </c>
      <c r="B20" s="16" t="s">
        <v>477</v>
      </c>
      <c r="C20" s="19" t="s">
        <v>507</v>
      </c>
      <c r="D20" s="29" t="s">
        <v>187</v>
      </c>
      <c r="E20" s="26" t="n">
        <v>0</v>
      </c>
      <c r="F20" s="32" t="n">
        <v>1</v>
      </c>
      <c r="G20" s="26" t="n">
        <v>0</v>
      </c>
      <c r="H20" s="27" t="n">
        <f aca="false">IF(I20&lt;&gt;"Sí",0,IF(B20="Deuda",IF(G20=0,E20*F20,G20),MAX(E20*F20,G20)))</f>
        <v>0</v>
      </c>
      <c r="I20" s="16" t="s">
        <v>109</v>
      </c>
      <c r="J20" s="21" t="s">
        <v>163</v>
      </c>
      <c r="K20" s="19"/>
      <c r="L20" s="34" t="n">
        <v>0</v>
      </c>
      <c r="M20" s="35" t="n">
        <f aca="false">IF(I20="Sí",H20,0)-L20</f>
        <v>0</v>
      </c>
      <c r="N20" s="19"/>
    </row>
    <row r="21" customFormat="false" ht="25.5" hidden="false" customHeight="true" outlineLevel="0" collapsed="false">
      <c r="A21" s="19" t="n">
        <v>17</v>
      </c>
      <c r="B21" s="16" t="s">
        <v>477</v>
      </c>
      <c r="C21" s="19" t="s">
        <v>507</v>
      </c>
      <c r="D21" s="29" t="s">
        <v>187</v>
      </c>
      <c r="E21" s="26" t="n">
        <v>0</v>
      </c>
      <c r="F21" s="32" t="n">
        <v>1</v>
      </c>
      <c r="G21" s="26" t="n">
        <v>0</v>
      </c>
      <c r="H21" s="27" t="n">
        <f aca="false">IF(I21&lt;&gt;"Sí",0,IF(B21="Deuda",IF(G21=0,E21*F21,G21),MAX(E21*F21,G21)))</f>
        <v>0</v>
      </c>
      <c r="I21" s="16" t="s">
        <v>109</v>
      </c>
      <c r="J21" s="21" t="s">
        <v>163</v>
      </c>
      <c r="K21" s="19"/>
      <c r="L21" s="34" t="n">
        <v>0</v>
      </c>
      <c r="M21" s="35" t="n">
        <f aca="false">IF(I21="Sí",H21,0)-L21</f>
        <v>0</v>
      </c>
      <c r="N21" s="19"/>
    </row>
    <row r="22" customFormat="false" ht="25.5" hidden="false" customHeight="true" outlineLevel="0" collapsed="false">
      <c r="A22" s="19" t="n">
        <v>18</v>
      </c>
      <c r="B22" s="16" t="s">
        <v>477</v>
      </c>
      <c r="C22" s="19" t="s">
        <v>507</v>
      </c>
      <c r="D22" s="29" t="s">
        <v>187</v>
      </c>
      <c r="E22" s="26" t="n">
        <v>0</v>
      </c>
      <c r="F22" s="32" t="n">
        <v>1</v>
      </c>
      <c r="G22" s="26" t="n">
        <v>0</v>
      </c>
      <c r="H22" s="27" t="n">
        <f aca="false">IF(I22&lt;&gt;"Sí",0,IF(B22="Deuda",IF(G22=0,E22*F22,G22),MAX(E22*F22,G22)))</f>
        <v>0</v>
      </c>
      <c r="I22" s="16" t="s">
        <v>109</v>
      </c>
      <c r="J22" s="21" t="s">
        <v>163</v>
      </c>
      <c r="K22" s="19"/>
      <c r="L22" s="34" t="n">
        <v>0</v>
      </c>
      <c r="M22" s="35" t="n">
        <f aca="false">IF(I22="Sí",H22,0)-L22</f>
        <v>0</v>
      </c>
      <c r="N22" s="19"/>
    </row>
    <row r="23" customFormat="false" ht="25.5" hidden="false" customHeight="true" outlineLevel="0" collapsed="false">
      <c r="A23" s="19" t="n">
        <v>19</v>
      </c>
      <c r="B23" s="16" t="s">
        <v>477</v>
      </c>
      <c r="C23" s="19" t="s">
        <v>507</v>
      </c>
      <c r="D23" s="29" t="s">
        <v>187</v>
      </c>
      <c r="E23" s="26" t="n">
        <v>0</v>
      </c>
      <c r="F23" s="32" t="n">
        <v>1</v>
      </c>
      <c r="G23" s="26" t="n">
        <v>0</v>
      </c>
      <c r="H23" s="27" t="n">
        <f aca="false">IF(I23&lt;&gt;"Sí",0,IF(B23="Deuda",IF(G23=0,E23*F23,G23),MAX(E23*F23,G23)))</f>
        <v>0</v>
      </c>
      <c r="I23" s="16" t="s">
        <v>109</v>
      </c>
      <c r="J23" s="21" t="s">
        <v>163</v>
      </c>
      <c r="K23" s="19"/>
      <c r="L23" s="34" t="n">
        <v>0</v>
      </c>
      <c r="M23" s="35" t="n">
        <f aca="false">IF(I23="Sí",H23,0)-L23</f>
        <v>0</v>
      </c>
      <c r="N23" s="19"/>
    </row>
    <row r="24" customFormat="false" ht="25.5" hidden="false" customHeight="true" outlineLevel="0" collapsed="false">
      <c r="A24" s="19" t="n">
        <v>20</v>
      </c>
      <c r="B24" s="16" t="s">
        <v>477</v>
      </c>
      <c r="C24" s="19" t="s">
        <v>507</v>
      </c>
      <c r="D24" s="29" t="s">
        <v>187</v>
      </c>
      <c r="E24" s="26" t="n">
        <v>0</v>
      </c>
      <c r="F24" s="32" t="n">
        <v>1</v>
      </c>
      <c r="G24" s="26" t="n">
        <v>0</v>
      </c>
      <c r="H24" s="27" t="n">
        <f aca="false">IF(I24&lt;&gt;"Sí",0,IF(B24="Deuda",IF(G24=0,E24*F24,G24),MAX(E24*F24,G24)))</f>
        <v>0</v>
      </c>
      <c r="I24" s="16" t="s">
        <v>109</v>
      </c>
      <c r="J24" s="21" t="s">
        <v>163</v>
      </c>
      <c r="K24" s="19"/>
      <c r="L24" s="34" t="n">
        <v>0</v>
      </c>
      <c r="M24" s="35" t="n">
        <f aca="false">IF(I24="Sí",H24,0)-L24</f>
        <v>0</v>
      </c>
      <c r="N24" s="19"/>
    </row>
    <row r="26" customFormat="false" ht="15" hidden="false" customHeight="false" outlineLevel="0" collapsed="false">
      <c r="A26" s="7" t="s">
        <v>508</v>
      </c>
      <c r="B26" s="7"/>
      <c r="C26" s="7"/>
      <c r="D26" s="7"/>
      <c r="E26" s="7"/>
      <c r="F26" s="7"/>
      <c r="G26" s="7"/>
      <c r="H26" s="7"/>
    </row>
    <row r="27" customFormat="false" ht="15" hidden="false" customHeight="false" outlineLevel="0" collapsed="false">
      <c r="D27" s="2" t="s">
        <v>509</v>
      </c>
      <c r="E27" s="2" t="s">
        <v>67</v>
      </c>
    </row>
    <row r="28" customFormat="false" ht="15" hidden="false" customHeight="true" outlineLevel="0" collapsed="false">
      <c r="A28" s="14" t="s">
        <v>510</v>
      </c>
      <c r="B28" s="14"/>
      <c r="C28" s="14"/>
      <c r="D28" s="19" t="s">
        <v>511</v>
      </c>
      <c r="E28" s="36" t="n">
        <f aca="false">SUMIFS($H$5:$H$24,$B$5:$B$24,"Activo",$I$5:$I$24,"Sí")</f>
        <v>297000000</v>
      </c>
    </row>
    <row r="29" customFormat="false" ht="22.35" hidden="false" customHeight="true" outlineLevel="0" collapsed="false">
      <c r="A29" s="14" t="s">
        <v>512</v>
      </c>
      <c r="B29" s="14"/>
      <c r="C29" s="14"/>
      <c r="D29" s="19" t="s">
        <v>444</v>
      </c>
      <c r="E29" s="36" t="n">
        <f aca="false">E28-03_PERFIL!B22</f>
        <v>19000000</v>
      </c>
    </row>
    <row r="30" customFormat="false" ht="32.8" hidden="false" customHeight="true" outlineLevel="0" collapsed="false">
      <c r="A30" s="14" t="s">
        <v>513</v>
      </c>
      <c r="B30" s="14"/>
      <c r="C30" s="14"/>
      <c r="D30" s="16" t="s">
        <v>109</v>
      </c>
    </row>
    <row r="31" customFormat="false" ht="22.35" hidden="false" customHeight="true" outlineLevel="0" collapsed="false">
      <c r="A31" s="14" t="s">
        <v>514</v>
      </c>
      <c r="B31" s="14"/>
      <c r="C31" s="14"/>
      <c r="D31" s="19" t="s">
        <v>515</v>
      </c>
      <c r="E31" s="37" t="n">
        <f aca="false">E28+IF(D30="Sí",MAX(0,03_PERFIL!B22-E28),0)</f>
        <v>297000000</v>
      </c>
    </row>
    <row r="32" customFormat="false" ht="15" hidden="false" customHeight="true" outlineLevel="0" collapsed="false">
      <c r="A32" s="14" t="s">
        <v>516</v>
      </c>
      <c r="B32" s="14"/>
      <c r="C32" s="14"/>
      <c r="D32" s="19" t="s">
        <v>515</v>
      </c>
      <c r="E32" s="37" t="n">
        <f aca="false">SUMIFS($H$5:$H$24,$B$5:$B$24,"Deuda",$I$5:$I$24,"Sí")</f>
        <v>63000000</v>
      </c>
    </row>
    <row r="33" customFormat="false" ht="15" hidden="false" customHeight="true" outlineLevel="0" collapsed="false">
      <c r="A33" s="14" t="s">
        <v>517</v>
      </c>
      <c r="B33" s="14"/>
      <c r="C33" s="14"/>
      <c r="D33" s="19" t="s">
        <v>515</v>
      </c>
      <c r="E33" s="37" t="n">
        <f aca="false">MAX(0,E31-E32)</f>
        <v>234000000</v>
      </c>
    </row>
    <row r="34" customFormat="false" ht="22.35" hidden="false" customHeight="true" outlineLevel="0" collapsed="false">
      <c r="A34" s="14" t="s">
        <v>518</v>
      </c>
      <c r="B34" s="14"/>
      <c r="C34" s="14"/>
      <c r="D34" s="19" t="s">
        <v>444</v>
      </c>
      <c r="E34" s="36" t="n">
        <f aca="false">E31-03_PERFIL!B22</f>
        <v>19000000</v>
      </c>
    </row>
    <row r="35" customFormat="false" ht="22.35" hidden="false" customHeight="true" outlineLevel="0" collapsed="false">
      <c r="A35" s="14" t="s">
        <v>519</v>
      </c>
      <c r="B35" s="14"/>
      <c r="C35" s="14"/>
      <c r="D35" s="19" t="s">
        <v>444</v>
      </c>
      <c r="E35" s="36" t="n">
        <f aca="false">E33-03_PERFIL!B24</f>
        <v>26000000</v>
      </c>
    </row>
    <row r="37" customFormat="false" ht="21.75" hidden="false" customHeight="true" outlineLevel="0" collapsed="false">
      <c r="A37" s="11" t="s">
        <v>520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</sheetData>
  <mergeCells count="10">
    <mergeCell ref="A2:M2"/>
    <mergeCell ref="A28:C28"/>
    <mergeCell ref="A29:C29"/>
    <mergeCell ref="A30:C30"/>
    <mergeCell ref="A31:C31"/>
    <mergeCell ref="A32:C32"/>
    <mergeCell ref="A33:C33"/>
    <mergeCell ref="A34:C34"/>
    <mergeCell ref="A35:C35"/>
    <mergeCell ref="A37:N39"/>
  </mergeCells>
  <dataValidations count="2">
    <dataValidation allowBlank="false" errorStyle="stop" operator="between" showDropDown="false" showErrorMessage="false" showInputMessage="false" sqref="B5:B24" type="list">
      <formula1>"Activo,Deuda"</formula1>
      <formula2>0</formula2>
    </dataValidation>
    <dataValidation allowBlank="false" errorStyle="stop" operator="between" showDropDown="false" showErrorMessage="false" showInputMessage="false" sqref="I5:I24 D30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6E62"/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2"/>
    <col collapsed="false" customWidth="true" hidden="false" outlineLevel="0" max="4" min="3" style="0" width="14"/>
    <col collapsed="false" customWidth="true" hidden="false" outlineLevel="0" max="5" min="5" style="0" width="9"/>
    <col collapsed="false" customWidth="true" hidden="false" outlineLevel="0" max="6" min="6" style="0" width="15"/>
    <col collapsed="false" customWidth="true" hidden="false" outlineLevel="0" max="8" min="7" style="0" width="14"/>
    <col collapsed="false" customWidth="true" hidden="false" outlineLevel="0" max="9" min="9" style="0" width="56"/>
  </cols>
  <sheetData>
    <row r="1" customFormat="false" ht="17.35" hidden="false" customHeight="false" outlineLevel="0" collapsed="false">
      <c r="A1" s="1" t="s">
        <v>521</v>
      </c>
      <c r="B1" s="1"/>
      <c r="C1" s="1"/>
      <c r="D1" s="1"/>
      <c r="E1" s="1"/>
      <c r="F1" s="1"/>
      <c r="G1" s="1"/>
      <c r="H1" s="1"/>
      <c r="I1" s="1"/>
    </row>
    <row r="2" customFormat="false" ht="24" hidden="false" customHeight="true" outlineLevel="0" collapsed="false">
      <c r="A2" s="15" t="s">
        <v>522</v>
      </c>
      <c r="B2" s="15"/>
      <c r="C2" s="15"/>
      <c r="D2" s="15"/>
      <c r="E2" s="15"/>
      <c r="F2" s="15"/>
      <c r="G2" s="15"/>
      <c r="H2" s="15"/>
      <c r="I2" s="19" t="str">
        <f aca="false">HYPERLINK("#'01_INICIO'!A1","← Volver a 01_INICIO")</f>
        <v>← Volver a 01_INICIO</v>
      </c>
    </row>
    <row r="4" customFormat="false" ht="22.35" hidden="false" customHeight="false" outlineLevel="0" collapsed="false">
      <c r="A4" s="2" t="s">
        <v>523</v>
      </c>
      <c r="B4" s="2" t="s">
        <v>524</v>
      </c>
      <c r="C4" s="2" t="s">
        <v>525</v>
      </c>
      <c r="D4" s="2" t="s">
        <v>526</v>
      </c>
      <c r="E4" s="2" t="s">
        <v>527</v>
      </c>
      <c r="F4" s="2" t="s">
        <v>528</v>
      </c>
      <c r="G4" s="2" t="s">
        <v>529</v>
      </c>
      <c r="H4" s="2" t="s">
        <v>530</v>
      </c>
      <c r="I4" s="2" t="s">
        <v>531</v>
      </c>
    </row>
    <row r="5" customFormat="false" ht="15" hidden="false" customHeight="false" outlineLevel="0" collapsed="false">
      <c r="A5" s="38" t="s">
        <v>532</v>
      </c>
      <c r="B5" s="38"/>
      <c r="C5" s="38"/>
      <c r="D5" s="38"/>
      <c r="E5" s="38"/>
      <c r="F5" s="38"/>
      <c r="G5" s="38"/>
      <c r="H5" s="38"/>
      <c r="I5" s="38"/>
    </row>
    <row r="6" customFormat="false" ht="24" hidden="false" customHeight="true" outlineLevel="0" collapsed="false">
      <c r="A6" s="19" t="s">
        <v>533</v>
      </c>
      <c r="B6" s="29" t="s">
        <v>534</v>
      </c>
      <c r="C6" s="39" t="s">
        <v>535</v>
      </c>
      <c r="D6" s="34" t="n">
        <v>18000000</v>
      </c>
      <c r="E6" s="19" t="s">
        <v>105</v>
      </c>
      <c r="F6" s="19" t="s">
        <v>536</v>
      </c>
      <c r="G6" s="27" t="n">
        <f aca="false">07_PATRIMONIO!H5</f>
        <v>25000000</v>
      </c>
      <c r="H6" s="35" t="n">
        <f aca="false">IF(ISNUMBER(D6),G6-D6,"")</f>
        <v>7000000</v>
      </c>
      <c r="I6" s="19" t="s">
        <v>537</v>
      </c>
    </row>
    <row r="7" customFormat="false" ht="24" hidden="false" customHeight="true" outlineLevel="0" collapsed="false">
      <c r="A7" s="19" t="s">
        <v>533</v>
      </c>
      <c r="B7" s="29" t="s">
        <v>538</v>
      </c>
      <c r="C7" s="39" t="s">
        <v>535</v>
      </c>
      <c r="D7" s="34" t="n">
        <v>10000000</v>
      </c>
      <c r="E7" s="19" t="s">
        <v>105</v>
      </c>
      <c r="F7" s="19" t="s">
        <v>536</v>
      </c>
      <c r="G7" s="27" t="n">
        <f aca="false">07_PATRIMONIO!H6</f>
        <v>15000000</v>
      </c>
      <c r="H7" s="35" t="n">
        <f aca="false">IF(ISNUMBER(D7),G7-D7,"")</f>
        <v>5000000</v>
      </c>
      <c r="I7" s="19"/>
    </row>
    <row r="8" customFormat="false" ht="24" hidden="false" customHeight="true" outlineLevel="0" collapsed="false">
      <c r="A8" s="19" t="s">
        <v>539</v>
      </c>
      <c r="B8" s="29" t="s">
        <v>483</v>
      </c>
      <c r="C8" s="39" t="s">
        <v>535</v>
      </c>
      <c r="D8" s="34" t="n">
        <v>8000000</v>
      </c>
      <c r="E8" s="19" t="s">
        <v>105</v>
      </c>
      <c r="F8" s="19" t="s">
        <v>536</v>
      </c>
      <c r="G8" s="27" t="n">
        <f aca="false">07_PATRIMONIO!H7</f>
        <v>10000000</v>
      </c>
      <c r="H8" s="35" t="n">
        <f aca="false">IF(ISNUMBER(D8),G8-D8,"")</f>
        <v>2000000</v>
      </c>
      <c r="I8" s="19"/>
    </row>
    <row r="9" customFormat="false" ht="24" hidden="false" customHeight="true" outlineLevel="0" collapsed="false">
      <c r="A9" s="19" t="s">
        <v>540</v>
      </c>
      <c r="B9" s="29" t="s">
        <v>541</v>
      </c>
      <c r="C9" s="34" t="n">
        <v>170000000</v>
      </c>
      <c r="D9" s="34" t="n">
        <v>175000000</v>
      </c>
      <c r="E9" s="19" t="s">
        <v>105</v>
      </c>
      <c r="F9" s="19" t="s">
        <v>536</v>
      </c>
      <c r="G9" s="27" t="n">
        <f aca="false">07_PATRIMONIO!H8</f>
        <v>180000000</v>
      </c>
      <c r="H9" s="35" t="n">
        <f aca="false">IF(ISNUMBER(D9),G9-D9,"")</f>
        <v>5000000</v>
      </c>
      <c r="I9" s="19" t="s">
        <v>542</v>
      </c>
    </row>
    <row r="10" customFormat="false" ht="24" hidden="false" customHeight="true" outlineLevel="0" collapsed="false">
      <c r="A10" s="19" t="s">
        <v>543</v>
      </c>
      <c r="B10" s="29" t="s">
        <v>544</v>
      </c>
      <c r="C10" s="34" t="n">
        <v>45000000</v>
      </c>
      <c r="D10" s="34" t="n">
        <v>45000000</v>
      </c>
      <c r="E10" s="19" t="s">
        <v>105</v>
      </c>
      <c r="F10" s="19" t="s">
        <v>536</v>
      </c>
      <c r="G10" s="27" t="n">
        <f aca="false">07_PATRIMONIO!H9</f>
        <v>45000000</v>
      </c>
      <c r="H10" s="35" t="n">
        <f aca="false">IF(ISNUMBER(D10),G10-D10,"")</f>
        <v>0</v>
      </c>
      <c r="I10" s="19" t="s">
        <v>545</v>
      </c>
    </row>
    <row r="11" customFormat="false" ht="24" hidden="false" customHeight="true" outlineLevel="0" collapsed="false">
      <c r="A11" s="19" t="s">
        <v>492</v>
      </c>
      <c r="B11" s="29" t="s">
        <v>546</v>
      </c>
      <c r="C11" s="34" t="n">
        <v>20000000</v>
      </c>
      <c r="D11" s="34" t="n">
        <v>20000000</v>
      </c>
      <c r="E11" s="19" t="s">
        <v>105</v>
      </c>
      <c r="F11" s="19" t="s">
        <v>536</v>
      </c>
      <c r="G11" s="27" t="n">
        <f aca="false">07_PATRIMONIO!H10</f>
        <v>20000000</v>
      </c>
      <c r="H11" s="35" t="n">
        <f aca="false">IF(ISNUMBER(D11),G11-D11,"")</f>
        <v>0</v>
      </c>
      <c r="I11" s="19"/>
    </row>
    <row r="12" customFormat="false" ht="15" hidden="false" customHeight="false" outlineLevel="0" collapsed="false">
      <c r="A12" s="38" t="s">
        <v>547</v>
      </c>
      <c r="B12" s="38"/>
      <c r="C12" s="38"/>
      <c r="D12" s="38"/>
      <c r="E12" s="38"/>
      <c r="F12" s="38"/>
      <c r="G12" s="38"/>
      <c r="H12" s="38"/>
      <c r="I12" s="38"/>
    </row>
    <row r="13" customFormat="false" ht="24" hidden="false" customHeight="true" outlineLevel="0" collapsed="false">
      <c r="A13" s="19" t="s">
        <v>548</v>
      </c>
      <c r="B13" s="29" t="s">
        <v>549</v>
      </c>
      <c r="C13" s="34" t="n">
        <v>70000000</v>
      </c>
      <c r="D13" s="34" t="n">
        <v>66000000</v>
      </c>
      <c r="E13" s="19" t="s">
        <v>105</v>
      </c>
      <c r="F13" s="19" t="s">
        <v>536</v>
      </c>
      <c r="G13" s="27" t="n">
        <f aca="false">07_PATRIMONIO!H12</f>
        <v>60000000</v>
      </c>
      <c r="H13" s="35" t="n">
        <f aca="false">IF(ISNUMBER(D13),G13-D13,"")</f>
        <v>-6000000</v>
      </c>
      <c r="I13" s="19" t="s">
        <v>550</v>
      </c>
    </row>
    <row r="14" customFormat="false" ht="24" hidden="false" customHeight="true" outlineLevel="0" collapsed="false">
      <c r="A14" s="19" t="s">
        <v>548</v>
      </c>
      <c r="B14" s="29" t="s">
        <v>551</v>
      </c>
      <c r="C14" s="34" t="n">
        <v>3000000</v>
      </c>
      <c r="D14" s="34" t="n">
        <v>4000000</v>
      </c>
      <c r="E14" s="19" t="s">
        <v>105</v>
      </c>
      <c r="F14" s="19" t="s">
        <v>536</v>
      </c>
      <c r="G14" s="27" t="n">
        <f aca="false">07_PATRIMONIO!H13</f>
        <v>3000000</v>
      </c>
      <c r="H14" s="35" t="n">
        <f aca="false">IF(ISNUMBER(D14),G14-D14,"")</f>
        <v>-1000000</v>
      </c>
      <c r="I14" s="19"/>
    </row>
    <row r="15" customFormat="false" ht="15" hidden="false" customHeight="false" outlineLevel="0" collapsed="false">
      <c r="A15" s="38" t="s">
        <v>552</v>
      </c>
      <c r="B15" s="38"/>
      <c r="C15" s="38"/>
      <c r="D15" s="38"/>
      <c r="E15" s="38"/>
      <c r="F15" s="38"/>
      <c r="G15" s="38"/>
      <c r="H15" s="38"/>
      <c r="I15" s="38"/>
    </row>
    <row r="16" customFormat="false" ht="24" hidden="false" customHeight="true" outlineLevel="0" collapsed="false">
      <c r="A16" s="19" t="s">
        <v>553</v>
      </c>
      <c r="B16" s="29" t="s">
        <v>10</v>
      </c>
      <c r="C16" s="34" t="n">
        <v>251000000</v>
      </c>
      <c r="D16" s="34" t="n">
        <v>278000000</v>
      </c>
      <c r="E16" s="19" t="s">
        <v>105</v>
      </c>
      <c r="F16" s="19" t="s">
        <v>554</v>
      </c>
      <c r="G16" s="27" t="n">
        <f aca="false">09_FORMULARIO_210!D7</f>
        <v>297000000</v>
      </c>
      <c r="H16" s="35" t="n">
        <f aca="false">IF(ISNUMBER(D16),G16-D16,"")</f>
        <v>19000000</v>
      </c>
      <c r="I16" s="19"/>
    </row>
    <row r="17" customFormat="false" ht="24" hidden="false" customHeight="true" outlineLevel="0" collapsed="false">
      <c r="A17" s="19" t="s">
        <v>553</v>
      </c>
      <c r="B17" s="29" t="s">
        <v>555</v>
      </c>
      <c r="C17" s="34" t="n">
        <v>12000000</v>
      </c>
      <c r="D17" s="34" t="n">
        <v>15000000</v>
      </c>
      <c r="E17" s="19" t="s">
        <v>105</v>
      </c>
      <c r="F17" s="19" t="s">
        <v>554</v>
      </c>
      <c r="G17" s="27" t="n">
        <f aca="false">09_FORMULARIO_210!D124</f>
        <v>10680000</v>
      </c>
      <c r="H17" s="35" t="n">
        <f aca="false">IF(ISNUMBER(D17),G17-D17,"")</f>
        <v>-4320000</v>
      </c>
      <c r="I17" s="19"/>
    </row>
    <row r="19" customFormat="false" ht="15" hidden="false" customHeight="true" outlineLevel="0" collapsed="false">
      <c r="A19" s="11" t="s">
        <v>556</v>
      </c>
      <c r="B19" s="11"/>
      <c r="C19" s="11"/>
      <c r="D19" s="11"/>
      <c r="E19" s="11"/>
      <c r="F19" s="11"/>
      <c r="G19" s="11"/>
      <c r="H19" s="11"/>
      <c r="I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  <c r="H20" s="11"/>
      <c r="I20" s="11"/>
    </row>
  </sheetData>
  <mergeCells count="2">
    <mergeCell ref="A2:H2"/>
    <mergeCell ref="A19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395"/>
    <pageSetUpPr fitToPage="false"/>
  </sheetPr>
  <dimension ref="A1:F1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3"/>
    <col collapsed="false" customWidth="true" hidden="false" outlineLevel="0" max="4" min="4" style="0" width="16"/>
    <col collapsed="false" customWidth="true" hidden="false" outlineLevel="0" max="5" min="5" style="0" width="52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557</v>
      </c>
      <c r="B1" s="1"/>
      <c r="D1" s="1"/>
      <c r="E1" s="1"/>
      <c r="F1" s="1"/>
    </row>
    <row r="2" customFormat="false" ht="24" hidden="false" customHeight="true" outlineLevel="0" collapsed="false">
      <c r="A2" s="15" t="s">
        <v>558</v>
      </c>
      <c r="B2" s="15"/>
      <c r="C2" s="15"/>
      <c r="D2" s="15"/>
      <c r="E2" s="15"/>
      <c r="F2" s="19" t="str">
        <f aca="false">HYPERLINK("#'01_INICIO'!A1","← Volver a 01_INICIO")</f>
        <v>← Volver a 01_INICIO</v>
      </c>
    </row>
    <row r="4" customFormat="false" ht="15" hidden="false" customHeight="false" outlineLevel="0" collapsed="false">
      <c r="A4" s="2" t="s">
        <v>149</v>
      </c>
      <c r="B4" s="2" t="s">
        <v>143</v>
      </c>
      <c r="D4" s="2" t="s">
        <v>67</v>
      </c>
      <c r="E4" s="2" t="s">
        <v>559</v>
      </c>
      <c r="F4" s="2" t="s">
        <v>560</v>
      </c>
    </row>
    <row r="5" customFormat="false" ht="15" hidden="false" customHeight="false" outlineLevel="0" collapsed="false">
      <c r="A5" s="7" t="s">
        <v>561</v>
      </c>
      <c r="B5" s="7"/>
      <c r="D5" s="7"/>
      <c r="E5" s="7"/>
      <c r="F5" s="7"/>
    </row>
    <row r="6" customFormat="false" ht="33" hidden="false" customHeight="true" outlineLevel="0" collapsed="false">
      <c r="A6" s="40" t="s">
        <v>311</v>
      </c>
      <c r="B6" s="29" t="s">
        <v>562</v>
      </c>
      <c r="D6" s="27" t="n">
        <f aca="false">IF(D22+D39+D57+D76&gt;0,ROUND(05_BENEFICIOS!$F$23,-3),0)</f>
        <v>200000</v>
      </c>
      <c r="E6" s="19" t="s">
        <v>563</v>
      </c>
      <c r="F6" s="19" t="s">
        <v>564</v>
      </c>
    </row>
    <row r="7" customFormat="false" ht="18" hidden="false" customHeight="true" outlineLevel="0" collapsed="false">
      <c r="A7" s="40" t="s">
        <v>565</v>
      </c>
      <c r="B7" s="29" t="s">
        <v>566</v>
      </c>
      <c r="D7" s="41" t="n">
        <f aca="false">ROUND(07_PATRIMONIO!$E$31,-3)</f>
        <v>297000000</v>
      </c>
      <c r="E7" s="19" t="s">
        <v>567</v>
      </c>
      <c r="F7" s="19" t="s">
        <v>568</v>
      </c>
    </row>
    <row r="8" customFormat="false" ht="18" hidden="false" customHeight="true" outlineLevel="0" collapsed="false">
      <c r="A8" s="40" t="s">
        <v>569</v>
      </c>
      <c r="B8" s="29" t="s">
        <v>548</v>
      </c>
      <c r="D8" s="27" t="n">
        <f aca="false">ROUND(07_PATRIMONIO!$E$32,-3)</f>
        <v>63000000</v>
      </c>
      <c r="E8" s="19" t="s">
        <v>570</v>
      </c>
      <c r="F8" s="19" t="s">
        <v>571</v>
      </c>
    </row>
    <row r="9" customFormat="false" ht="18" hidden="false" customHeight="true" outlineLevel="0" collapsed="false">
      <c r="A9" s="40" t="s">
        <v>572</v>
      </c>
      <c r="B9" s="29" t="s">
        <v>573</v>
      </c>
      <c r="D9" s="41" t="n">
        <f aca="false">MAX(0,D7-D8)</f>
        <v>234000000</v>
      </c>
      <c r="E9" s="19"/>
      <c r="F9" s="19" t="s">
        <v>574</v>
      </c>
    </row>
    <row r="11" customFormat="false" ht="15" hidden="false" customHeight="false" outlineLevel="0" collapsed="false">
      <c r="A11" s="7" t="s">
        <v>575</v>
      </c>
      <c r="B11" s="7"/>
      <c r="D11" s="7"/>
      <c r="E11" s="7"/>
      <c r="F11" s="7"/>
    </row>
    <row r="12" customFormat="false" ht="21.75" hidden="false" customHeight="true" outlineLevel="0" collapsed="false">
      <c r="A12" s="40" t="s">
        <v>98</v>
      </c>
      <c r="B12" s="29" t="s">
        <v>576</v>
      </c>
      <c r="D12" s="27" t="n">
        <f aca="false">ROUND(04_INGRESOS!$F$28,-3)</f>
        <v>166000000</v>
      </c>
      <c r="E12" s="19" t="s">
        <v>577</v>
      </c>
      <c r="F12" s="19" t="s">
        <v>578</v>
      </c>
    </row>
    <row r="13" customFormat="false" ht="21.75" hidden="false" customHeight="true" outlineLevel="0" collapsed="false">
      <c r="A13" s="40" t="s">
        <v>254</v>
      </c>
      <c r="B13" s="29" t="s">
        <v>579</v>
      </c>
      <c r="D13" s="27" t="n">
        <f aca="false">ROUND(05_BENEFICIOS!$F$5+05_BENEFICIOS!$F$6+05_BENEFICIOS!$F$7+05_BENEFICIOS!$F$8,-3)</f>
        <v>13500000</v>
      </c>
      <c r="E13" s="19" t="s">
        <v>580</v>
      </c>
      <c r="F13" s="19" t="s">
        <v>581</v>
      </c>
    </row>
    <row r="14" customFormat="false" ht="18" hidden="false" customHeight="true" outlineLevel="0" collapsed="false">
      <c r="A14" s="40" t="s">
        <v>582</v>
      </c>
      <c r="B14" s="29" t="s">
        <v>583</v>
      </c>
      <c r="D14" s="27" t="n">
        <f aca="false">MAX(0,D12-D13)</f>
        <v>152500000</v>
      </c>
      <c r="E14" s="19"/>
      <c r="F14" s="19" t="s">
        <v>584</v>
      </c>
    </row>
    <row r="15" customFormat="false" ht="21.75" hidden="false" customHeight="true" outlineLevel="0" collapsed="false">
      <c r="A15" s="40" t="s">
        <v>281</v>
      </c>
      <c r="B15" s="29" t="s">
        <v>585</v>
      </c>
      <c r="D15" s="27" t="n">
        <f aca="false">ROUND(MIN(05_BENEFICIOS!$F$13+05_BENEFICIOS!$F$14+05_BENEFICIOS!$F$15,MIN(05_BENEFICIOS!$F$13+05_BENEFICIOS!$F$14+05_BENEFICIOS!$F$15+05_BENEFICIOS!$F$24+05_BENEFICIOS!$F$25+05_BENEFICIOS!$F$26,0.3*04_INGRESOS!$F$27,16_PARAMETROS!$C$9*16_PARAMETROS!$C$5)),-3)</f>
        <v>5000000</v>
      </c>
      <c r="E15" s="19" t="s">
        <v>586</v>
      </c>
      <c r="F15" s="19" t="s">
        <v>587</v>
      </c>
    </row>
    <row r="16" customFormat="false" ht="33" hidden="false" customHeight="true" outlineLevel="0" collapsed="false">
      <c r="A16" s="40" t="s">
        <v>289</v>
      </c>
      <c r="B16" s="29" t="s">
        <v>588</v>
      </c>
      <c r="D16" s="27" t="n">
        <f aca="false">ROUND(MIN(D14-D15,MAX(0,05_BENEFICIOS!$F$16+05_BENEFICIOS!$E$65+ROUND(04_INGRESOS!$F$46,-3))+MIN(16_PARAMETROS!$C$8*16_PARAMETROS!$C$5,0.25*MAX(0,D14-D15-D18-D19-05_BENEFICIOS!$F$16-05_BENEFICIOS!$E$65-ROUND(04_INGRESOS!$F$44,-3)))),-3)</f>
        <v>30725000</v>
      </c>
      <c r="E16" s="19" t="s">
        <v>589</v>
      </c>
      <c r="F16" s="19" t="s">
        <v>590</v>
      </c>
    </row>
    <row r="17" customFormat="false" ht="18" hidden="false" customHeight="true" outlineLevel="0" collapsed="false">
      <c r="A17" s="40" t="s">
        <v>591</v>
      </c>
      <c r="B17" s="29" t="s">
        <v>592</v>
      </c>
      <c r="D17" s="27" t="n">
        <f aca="false">D15+D16</f>
        <v>35725000</v>
      </c>
      <c r="E17" s="19"/>
      <c r="F17" s="19"/>
    </row>
    <row r="18" customFormat="false" ht="18" hidden="false" customHeight="true" outlineLevel="0" collapsed="false">
      <c r="A18" s="40" t="s">
        <v>292</v>
      </c>
      <c r="B18" s="29" t="s">
        <v>593</v>
      </c>
      <c r="D18" s="27" t="n">
        <f aca="false">ROUND(MIN(D14,05_BENEFICIOS!$F$17),-3)</f>
        <v>4000000</v>
      </c>
      <c r="E18" s="19" t="s">
        <v>594</v>
      </c>
      <c r="F18" s="19" t="s">
        <v>595</v>
      </c>
    </row>
    <row r="19" customFormat="false" ht="21.75" hidden="false" customHeight="true" outlineLevel="0" collapsed="false">
      <c r="A19" s="40" t="s">
        <v>296</v>
      </c>
      <c r="B19" s="29" t="s">
        <v>596</v>
      </c>
      <c r="D19" s="27" t="n">
        <f aca="false">ROUND(MIN(D14,05_BENEFICIOS!$F$18+05_BENEFICIOS!$F$19+05_BENEFICIOS!$F$20+05_BENEFICIOS!$F$21),-3)</f>
        <v>20600000</v>
      </c>
      <c r="E19" s="19" t="s">
        <v>597</v>
      </c>
      <c r="F19" s="19" t="s">
        <v>598</v>
      </c>
    </row>
    <row r="20" customFormat="false" ht="18" hidden="false" customHeight="true" outlineLevel="0" collapsed="false">
      <c r="A20" s="40" t="s">
        <v>599</v>
      </c>
      <c r="B20" s="29" t="s">
        <v>600</v>
      </c>
      <c r="D20" s="27" t="n">
        <f aca="false">D18+D19</f>
        <v>24600000</v>
      </c>
      <c r="E20" s="19"/>
      <c r="F20" s="19"/>
    </row>
    <row r="21" customFormat="false" ht="21.75" hidden="false" customHeight="true" outlineLevel="0" collapsed="false">
      <c r="A21" s="40" t="s">
        <v>601</v>
      </c>
      <c r="B21" s="29" t="s">
        <v>602</v>
      </c>
      <c r="D21" s="41" t="n">
        <f aca="false">ROUND(MIN(D14,05_BENEFICIOS!$E$65+MIN(MAX(0,D14-05_BENEFICIOS!$E$65),MAX(0,D17+D20-05_BENEFICIOS!$E$65),D80)),-3)</f>
        <v>60325000</v>
      </c>
      <c r="E21" s="19" t="s">
        <v>603</v>
      </c>
      <c r="F21" s="19" t="s">
        <v>604</v>
      </c>
    </row>
    <row r="22" customFormat="false" ht="18" hidden="false" customHeight="true" outlineLevel="0" collapsed="false">
      <c r="A22" s="40" t="s">
        <v>605</v>
      </c>
      <c r="B22" s="29" t="s">
        <v>606</v>
      </c>
      <c r="D22" s="27" t="n">
        <f aca="false">MAX(0,D14-D21)</f>
        <v>92175000</v>
      </c>
      <c r="E22" s="19"/>
      <c r="F22" s="19"/>
    </row>
    <row r="24" customFormat="false" ht="15" hidden="false" customHeight="false" outlineLevel="0" collapsed="false">
      <c r="A24" s="7" t="s">
        <v>607</v>
      </c>
      <c r="B24" s="7"/>
      <c r="D24" s="7"/>
      <c r="E24" s="7"/>
      <c r="F24" s="7"/>
    </row>
    <row r="25" customFormat="false" ht="18" hidden="false" customHeight="true" outlineLevel="0" collapsed="false">
      <c r="A25" s="40" t="s">
        <v>608</v>
      </c>
      <c r="B25" s="29" t="s">
        <v>609</v>
      </c>
      <c r="D25" s="27" t="n">
        <f aca="false">ROUND(04_INGRESOS!$F$29,-3)</f>
        <v>0</v>
      </c>
      <c r="E25" s="19" t="s">
        <v>610</v>
      </c>
      <c r="F25" s="19" t="s">
        <v>611</v>
      </c>
    </row>
    <row r="26" customFormat="false" ht="18" hidden="false" customHeight="true" outlineLevel="0" collapsed="false">
      <c r="A26" s="40" t="s">
        <v>266</v>
      </c>
      <c r="B26" s="29" t="s">
        <v>265</v>
      </c>
      <c r="D26" s="27" t="n">
        <f aca="false">ROUND(MIN(05_BENEFICIOS!$F$9,04_INGRESOS!$F$29),-3)</f>
        <v>0</v>
      </c>
      <c r="E26" s="19"/>
      <c r="F26" s="19"/>
    </row>
    <row r="27" customFormat="false" ht="18" hidden="false" customHeight="true" outlineLevel="0" collapsed="false">
      <c r="A27" s="40" t="s">
        <v>612</v>
      </c>
      <c r="B27" s="29" t="s">
        <v>613</v>
      </c>
      <c r="D27" s="27" t="n">
        <f aca="false">ROUND(04_INGRESOS!$F$39,-3)</f>
        <v>0</v>
      </c>
      <c r="E27" s="19"/>
      <c r="F27" s="19" t="s">
        <v>614</v>
      </c>
    </row>
    <row r="28" customFormat="false" ht="18" hidden="false" customHeight="true" outlineLevel="0" collapsed="false">
      <c r="A28" s="40" t="s">
        <v>615</v>
      </c>
      <c r="B28" s="29" t="s">
        <v>616</v>
      </c>
      <c r="D28" s="27" t="n">
        <f aca="false">MAX(0,D25-D26-D27)</f>
        <v>0</v>
      </c>
      <c r="E28" s="19"/>
      <c r="F28" s="19"/>
    </row>
    <row r="29" customFormat="false" ht="18" hidden="false" customHeight="true" outlineLevel="0" collapsed="false">
      <c r="A29" s="40" t="s">
        <v>315</v>
      </c>
      <c r="B29" s="29" t="s">
        <v>617</v>
      </c>
      <c r="D29" s="27" t="n">
        <f aca="false">ROUND(MIN(05_BENEFICIOS!$F$24,MAX(0,MIN(05_BENEFICIOS!$F$13+05_BENEFICIOS!$F$14+05_BENEFICIOS!$F$15+05_BENEFICIOS!$F$24+05_BENEFICIOS!$F$25+05_BENEFICIOS!$F$26,0.3*04_INGRESOS!$F$27,16_PARAMETROS!$C$9*16_PARAMETROS!$C$5)-D15)),-3)</f>
        <v>0</v>
      </c>
      <c r="E29" s="19" t="s">
        <v>618</v>
      </c>
      <c r="F29" s="19"/>
    </row>
    <row r="30" customFormat="false" ht="18" hidden="false" customHeight="true" outlineLevel="0" collapsed="false">
      <c r="A30" s="40" t="s">
        <v>364</v>
      </c>
      <c r="B30" s="29" t="s">
        <v>619</v>
      </c>
      <c r="D30" s="27" t="n">
        <f aca="false">ROUND(05_BENEFICIOS!$E$45,-3)</f>
        <v>0</v>
      </c>
      <c r="E30" s="19"/>
      <c r="F30" s="19"/>
    </row>
    <row r="31" customFormat="false" ht="18" hidden="false" customHeight="true" outlineLevel="0" collapsed="false">
      <c r="A31" s="40" t="s">
        <v>620</v>
      </c>
      <c r="B31" s="29" t="s">
        <v>621</v>
      </c>
      <c r="D31" s="27" t="n">
        <f aca="false">D29+D30</f>
        <v>0</v>
      </c>
      <c r="E31" s="19"/>
      <c r="F31" s="19"/>
    </row>
    <row r="32" customFormat="false" ht="18" hidden="false" customHeight="true" outlineLevel="0" collapsed="false">
      <c r="A32" s="40" t="s">
        <v>368</v>
      </c>
      <c r="B32" s="29" t="s">
        <v>622</v>
      </c>
      <c r="D32" s="27" t="n">
        <f aca="false">ROUND(MIN(D28,05_BENEFICIOS!$E$46,MAX(0,16_PARAMETROS!$C$10*16_PARAMETROS!$C$5-D18)),-3)</f>
        <v>0</v>
      </c>
      <c r="E32" s="19" t="s">
        <v>623</v>
      </c>
      <c r="F32" s="19"/>
    </row>
    <row r="33" customFormat="false" ht="18" hidden="false" customHeight="true" outlineLevel="0" collapsed="false">
      <c r="A33" s="40" t="s">
        <v>372</v>
      </c>
      <c r="B33" s="29" t="s">
        <v>624</v>
      </c>
      <c r="D33" s="27" t="n">
        <f aca="false">ROUND(MIN(D28,05_BENEFICIOS!$E$47),-3)</f>
        <v>0</v>
      </c>
      <c r="E33" s="19"/>
      <c r="F33" s="19"/>
    </row>
    <row r="34" customFormat="false" ht="18" hidden="false" customHeight="true" outlineLevel="0" collapsed="false">
      <c r="A34" s="40" t="s">
        <v>625</v>
      </c>
      <c r="B34" s="29" t="s">
        <v>626</v>
      </c>
      <c r="D34" s="27" t="n">
        <f aca="false">D32+D33</f>
        <v>0</v>
      </c>
      <c r="E34" s="19"/>
      <c r="F34" s="19"/>
    </row>
    <row r="35" customFormat="false" ht="18" hidden="false" customHeight="true" outlineLevel="0" collapsed="false">
      <c r="A35" s="40" t="s">
        <v>627</v>
      </c>
      <c r="B35" s="29" t="s">
        <v>628</v>
      </c>
      <c r="D35" s="27" t="n">
        <f aca="false">ROUND(MIN(D28,D31+D34,MAX(0,D80-MAX(0,D21-05_BENEFICIOS!$E$65))),-3)</f>
        <v>0</v>
      </c>
      <c r="E35" s="19" t="s">
        <v>629</v>
      </c>
      <c r="F35" s="19"/>
    </row>
    <row r="36" customFormat="false" ht="18" hidden="false" customHeight="true" outlineLevel="0" collapsed="false">
      <c r="A36" s="40" t="s">
        <v>630</v>
      </c>
      <c r="B36" s="29" t="s">
        <v>631</v>
      </c>
      <c r="D36" s="27" t="n">
        <f aca="false">MAX(0,D25-D26-D27-D35)</f>
        <v>0</v>
      </c>
      <c r="E36" s="19"/>
      <c r="F36" s="19"/>
    </row>
    <row r="37" customFormat="false" ht="18" hidden="false" customHeight="true" outlineLevel="0" collapsed="false">
      <c r="A37" s="40" t="s">
        <v>632</v>
      </c>
      <c r="B37" s="29" t="s">
        <v>633</v>
      </c>
      <c r="D37" s="27" t="n">
        <f aca="false">MAX(0,D26+D27-D25)</f>
        <v>0</v>
      </c>
      <c r="E37" s="19"/>
      <c r="F37" s="19"/>
    </row>
    <row r="38" customFormat="false" ht="18" hidden="false" customHeight="true" outlineLevel="0" collapsed="false">
      <c r="A38" s="40" t="s">
        <v>375</v>
      </c>
      <c r="B38" s="29" t="s">
        <v>634</v>
      </c>
      <c r="D38" s="27" t="n">
        <f aca="false">ROUND(MIN(D36,05_BENEFICIOS!$E$48),-3)</f>
        <v>0</v>
      </c>
      <c r="E38" s="19"/>
      <c r="F38" s="19"/>
    </row>
    <row r="39" customFormat="false" ht="18" hidden="false" customHeight="true" outlineLevel="0" collapsed="false">
      <c r="A39" s="40" t="s">
        <v>635</v>
      </c>
      <c r="B39" s="29" t="s">
        <v>636</v>
      </c>
      <c r="D39" s="27" t="n">
        <f aca="false">MAX(0,D36-D38)</f>
        <v>0</v>
      </c>
      <c r="E39" s="19"/>
      <c r="F39" s="19"/>
    </row>
    <row r="41" customFormat="false" ht="15" hidden="false" customHeight="false" outlineLevel="0" collapsed="false">
      <c r="A41" s="7" t="s">
        <v>637</v>
      </c>
      <c r="B41" s="7"/>
      <c r="D41" s="7"/>
      <c r="E41" s="7"/>
      <c r="F41" s="7"/>
    </row>
    <row r="42" customFormat="false" ht="18" hidden="false" customHeight="true" outlineLevel="0" collapsed="false">
      <c r="A42" s="40" t="s">
        <v>185</v>
      </c>
      <c r="B42" s="29" t="s">
        <v>638</v>
      </c>
      <c r="D42" s="27" t="n">
        <f aca="false">ROUND(04_INGRESOS!$F$30+04_INGRESOS!$F$31,-3)</f>
        <v>16000000</v>
      </c>
      <c r="E42" s="19" t="s">
        <v>639</v>
      </c>
      <c r="F42" s="19" t="s">
        <v>640</v>
      </c>
    </row>
    <row r="43" customFormat="false" ht="21.75" hidden="false" customHeight="true" outlineLevel="0" collapsed="false">
      <c r="A43" s="40" t="s">
        <v>268</v>
      </c>
      <c r="B43" s="29" t="s">
        <v>641</v>
      </c>
      <c r="D43" s="27" t="n">
        <f aca="false">ROUND(05_BENEFICIOS!$F$10,-3)</f>
        <v>2217000</v>
      </c>
      <c r="E43" s="19" t="s">
        <v>642</v>
      </c>
      <c r="F43" s="19" t="s">
        <v>643</v>
      </c>
    </row>
    <row r="44" customFormat="false" ht="21.75" hidden="false" customHeight="true" outlineLevel="0" collapsed="false">
      <c r="A44" s="40" t="s">
        <v>644</v>
      </c>
      <c r="B44" s="29" t="s">
        <v>613</v>
      </c>
      <c r="D44" s="27" t="n">
        <f aca="false">ROUND(IF(03_PERFIL!$B$17="No",04_INGRESOS!$F$40*(1-16_PARAMETROS!$C$26),04_INGRESOS!$F$40),-3)</f>
        <v>0</v>
      </c>
      <c r="E44" s="19" t="s">
        <v>645</v>
      </c>
      <c r="F44" s="19" t="s">
        <v>646</v>
      </c>
    </row>
    <row r="45" customFormat="false" ht="18" hidden="false" customHeight="true" outlineLevel="0" collapsed="false">
      <c r="A45" s="40" t="s">
        <v>647</v>
      </c>
      <c r="B45" s="29" t="s">
        <v>648</v>
      </c>
      <c r="D45" s="27" t="n">
        <f aca="false">MAX(0,D42-D43-D44)</f>
        <v>13783000</v>
      </c>
      <c r="E45" s="19"/>
      <c r="F45" s="19"/>
    </row>
    <row r="46" customFormat="false" ht="18" hidden="false" customHeight="true" outlineLevel="0" collapsed="false">
      <c r="A46" s="40" t="s">
        <v>379</v>
      </c>
      <c r="B46" s="29" t="s">
        <v>649</v>
      </c>
      <c r="D46" s="27" t="n">
        <f aca="false">ROUND(05_BENEFICIOS!$E$49,-3)</f>
        <v>0</v>
      </c>
      <c r="E46" s="19" t="s">
        <v>650</v>
      </c>
      <c r="F46" s="19" t="s">
        <v>651</v>
      </c>
    </row>
    <row r="47" customFormat="false" ht="18" hidden="false" customHeight="true" outlineLevel="0" collapsed="false">
      <c r="A47" s="40" t="s">
        <v>317</v>
      </c>
      <c r="B47" s="29" t="s">
        <v>617</v>
      </c>
      <c r="D47" s="27" t="n">
        <f aca="false">ROUND(MIN(05_BENEFICIOS!$F$25,MAX(0,MIN(05_BENEFICIOS!$F$13+05_BENEFICIOS!$F$14+05_BENEFICIOS!$F$15+05_BENEFICIOS!$F$24+05_BENEFICIOS!$F$25+05_BENEFICIOS!$F$26,0.3*04_INGRESOS!$F$27,16_PARAMETROS!$C$9*16_PARAMETROS!$C$5)-D15-D29)),-3)</f>
        <v>0</v>
      </c>
      <c r="E47" s="19"/>
      <c r="F47" s="19"/>
    </row>
    <row r="48" customFormat="false" ht="18" hidden="false" customHeight="true" outlineLevel="0" collapsed="false">
      <c r="A48" s="40" t="s">
        <v>383</v>
      </c>
      <c r="B48" s="29" t="s">
        <v>619</v>
      </c>
      <c r="D48" s="27" t="n">
        <f aca="false">ROUND(05_BENEFICIOS!$E$50,-3)</f>
        <v>0</v>
      </c>
      <c r="E48" s="19"/>
      <c r="F48" s="19"/>
    </row>
    <row r="49" customFormat="false" ht="18" hidden="false" customHeight="true" outlineLevel="0" collapsed="false">
      <c r="A49" s="40" t="s">
        <v>652</v>
      </c>
      <c r="B49" s="29" t="s">
        <v>653</v>
      </c>
      <c r="D49" s="27" t="n">
        <f aca="false">D47+D48</f>
        <v>0</v>
      </c>
      <c r="E49" s="19"/>
      <c r="F49" s="19"/>
    </row>
    <row r="50" customFormat="false" ht="18" hidden="false" customHeight="true" outlineLevel="0" collapsed="false">
      <c r="A50" s="40" t="s">
        <v>386</v>
      </c>
      <c r="B50" s="29" t="s">
        <v>622</v>
      </c>
      <c r="D50" s="27" t="n">
        <f aca="false">ROUND(MIN(D45+D46,05_BENEFICIOS!$E$51,MAX(0,16_PARAMETROS!$C$10*16_PARAMETROS!$C$5-D18-D32)),-3)</f>
        <v>0</v>
      </c>
      <c r="E50" s="19"/>
      <c r="F50" s="19"/>
    </row>
    <row r="51" customFormat="false" ht="18" hidden="false" customHeight="true" outlineLevel="0" collapsed="false">
      <c r="A51" s="40" t="s">
        <v>389</v>
      </c>
      <c r="B51" s="29" t="s">
        <v>624</v>
      </c>
      <c r="D51" s="27" t="n">
        <f aca="false">ROUND(MIN(D45+D46,05_BENEFICIOS!$E$52),-3)</f>
        <v>0</v>
      </c>
      <c r="E51" s="19"/>
      <c r="F51" s="19"/>
    </row>
    <row r="52" customFormat="false" ht="18" hidden="false" customHeight="true" outlineLevel="0" collapsed="false">
      <c r="A52" s="40" t="s">
        <v>654</v>
      </c>
      <c r="B52" s="29" t="s">
        <v>655</v>
      </c>
      <c r="D52" s="27" t="n">
        <f aca="false">D50+D51</f>
        <v>0</v>
      </c>
      <c r="E52" s="19"/>
      <c r="F52" s="19"/>
    </row>
    <row r="53" customFormat="false" ht="18" hidden="false" customHeight="true" outlineLevel="0" collapsed="false">
      <c r="A53" s="40" t="s">
        <v>656</v>
      </c>
      <c r="B53" s="29" t="s">
        <v>628</v>
      </c>
      <c r="D53" s="27" t="n">
        <f aca="false">ROUND(MIN(D45+D46,D49+D52,MAX(0,D80-MAX(0,D21-05_BENEFICIOS!$E$65)-D35)),-3)</f>
        <v>0</v>
      </c>
      <c r="E53" s="19" t="s">
        <v>657</v>
      </c>
      <c r="F53" s="19"/>
    </row>
    <row r="54" customFormat="false" ht="18" hidden="false" customHeight="true" outlineLevel="0" collapsed="false">
      <c r="A54" s="40" t="s">
        <v>658</v>
      </c>
      <c r="B54" s="29" t="s">
        <v>659</v>
      </c>
      <c r="D54" s="27" t="n">
        <f aca="false">MAX(0,D42+D46-D43-D44-D53)</f>
        <v>13783000</v>
      </c>
      <c r="E54" s="19"/>
      <c r="F54" s="19"/>
    </row>
    <row r="55" customFormat="false" ht="18" hidden="false" customHeight="true" outlineLevel="0" collapsed="false">
      <c r="A55" s="40" t="s">
        <v>660</v>
      </c>
      <c r="B55" s="29" t="s">
        <v>633</v>
      </c>
      <c r="D55" s="27" t="n">
        <f aca="false">MAX(0,D43+D44-D42-D46)</f>
        <v>0</v>
      </c>
      <c r="E55" s="19"/>
      <c r="F55" s="19"/>
    </row>
    <row r="56" customFormat="false" ht="18" hidden="false" customHeight="true" outlineLevel="0" collapsed="false">
      <c r="A56" s="40" t="s">
        <v>392</v>
      </c>
      <c r="B56" s="29" t="s">
        <v>634</v>
      </c>
      <c r="D56" s="27" t="n">
        <f aca="false">ROUND(MIN(D54,05_BENEFICIOS!$E$53),-3)</f>
        <v>0</v>
      </c>
      <c r="E56" s="19"/>
      <c r="F56" s="19"/>
    </row>
    <row r="57" customFormat="false" ht="18" hidden="false" customHeight="true" outlineLevel="0" collapsed="false">
      <c r="A57" s="40" t="s">
        <v>661</v>
      </c>
      <c r="B57" s="29" t="s">
        <v>662</v>
      </c>
      <c r="D57" s="27" t="n">
        <f aca="false">MAX(0,D54-D56)</f>
        <v>13783000</v>
      </c>
      <c r="E57" s="19"/>
      <c r="F57" s="19"/>
    </row>
    <row r="59" customFormat="false" ht="15" hidden="false" customHeight="false" outlineLevel="0" collapsed="false">
      <c r="A59" s="7" t="s">
        <v>663</v>
      </c>
      <c r="B59" s="7"/>
      <c r="D59" s="7"/>
      <c r="E59" s="7"/>
      <c r="F59" s="7"/>
    </row>
    <row r="60" customFormat="false" ht="18" hidden="false" customHeight="true" outlineLevel="0" collapsed="false">
      <c r="A60" s="40" t="s">
        <v>190</v>
      </c>
      <c r="B60" s="29" t="s">
        <v>664</v>
      </c>
      <c r="D60" s="27" t="n">
        <f aca="false">ROUND(04_INGRESOS!$F$32,-3)</f>
        <v>0</v>
      </c>
      <c r="E60" s="19"/>
      <c r="F60" s="19" t="s">
        <v>640</v>
      </c>
    </row>
    <row r="61" customFormat="false" ht="18" hidden="false" customHeight="true" outlineLevel="0" collapsed="false">
      <c r="A61" s="40" t="s">
        <v>395</v>
      </c>
      <c r="B61" s="29" t="s">
        <v>665</v>
      </c>
      <c r="D61" s="27" t="n">
        <f aca="false">ROUND(MIN(D60,05_BENEFICIOS!$E$54),-3)</f>
        <v>0</v>
      </c>
      <c r="E61" s="19"/>
      <c r="F61" s="19"/>
    </row>
    <row r="62" customFormat="false" ht="18" hidden="false" customHeight="true" outlineLevel="0" collapsed="false">
      <c r="A62" s="40" t="s">
        <v>398</v>
      </c>
      <c r="B62" s="29" t="s">
        <v>579</v>
      </c>
      <c r="D62" s="27" t="n">
        <f aca="false">ROUND(MIN(MAX(0,D60-D61),05_BENEFICIOS!$E$55),-3)</f>
        <v>0</v>
      </c>
      <c r="E62" s="19"/>
      <c r="F62" s="19"/>
    </row>
    <row r="63" customFormat="false" ht="18" hidden="false" customHeight="true" outlineLevel="0" collapsed="false">
      <c r="A63" s="40" t="s">
        <v>666</v>
      </c>
      <c r="B63" s="29" t="s">
        <v>613</v>
      </c>
      <c r="D63" s="27" t="n">
        <f aca="false">ROUND(04_INGRESOS!$F$41,-3)</f>
        <v>0</v>
      </c>
      <c r="E63" s="19"/>
      <c r="F63" s="19"/>
    </row>
    <row r="64" customFormat="false" ht="18" hidden="false" customHeight="true" outlineLevel="0" collapsed="false">
      <c r="A64" s="40" t="s">
        <v>667</v>
      </c>
      <c r="B64" s="29" t="s">
        <v>668</v>
      </c>
      <c r="D64" s="27" t="n">
        <f aca="false">MAX(0,D60-D61-D62-D63)</f>
        <v>0</v>
      </c>
      <c r="E64" s="19"/>
      <c r="F64" s="19"/>
    </row>
    <row r="65" customFormat="false" ht="18" hidden="false" customHeight="true" outlineLevel="0" collapsed="false">
      <c r="A65" s="40" t="s">
        <v>401</v>
      </c>
      <c r="B65" s="29" t="s">
        <v>649</v>
      </c>
      <c r="D65" s="27" t="n">
        <f aca="false">ROUND(05_BENEFICIOS!$E$56,-3)</f>
        <v>0</v>
      </c>
      <c r="E65" s="19"/>
      <c r="F65" s="19"/>
    </row>
    <row r="66" customFormat="false" ht="18" hidden="false" customHeight="true" outlineLevel="0" collapsed="false">
      <c r="A66" s="40" t="s">
        <v>319</v>
      </c>
      <c r="B66" s="29" t="s">
        <v>617</v>
      </c>
      <c r="D66" s="27" t="n">
        <f aca="false">ROUND(MIN(05_BENEFICIOS!$F$26,MAX(0,MIN(05_BENEFICIOS!$F$13+05_BENEFICIOS!$F$14+05_BENEFICIOS!$F$15+05_BENEFICIOS!$F$24+05_BENEFICIOS!$F$25+05_BENEFICIOS!$F$26,0.3*04_INGRESOS!$F$27,16_PARAMETROS!$C$9*16_PARAMETROS!$C$5)-D15-D29-D47)),-3)</f>
        <v>0</v>
      </c>
      <c r="E66" s="19"/>
      <c r="F66" s="19"/>
    </row>
    <row r="67" customFormat="false" ht="18" hidden="false" customHeight="true" outlineLevel="0" collapsed="false">
      <c r="A67" s="40" t="s">
        <v>405</v>
      </c>
      <c r="B67" s="29" t="s">
        <v>619</v>
      </c>
      <c r="D67" s="27" t="n">
        <f aca="false">ROUND(05_BENEFICIOS!$E$57,-3)</f>
        <v>0</v>
      </c>
      <c r="E67" s="19"/>
      <c r="F67" s="19"/>
    </row>
    <row r="68" customFormat="false" ht="18" hidden="false" customHeight="true" outlineLevel="0" collapsed="false">
      <c r="A68" s="40" t="s">
        <v>669</v>
      </c>
      <c r="B68" s="29" t="s">
        <v>670</v>
      </c>
      <c r="D68" s="27" t="n">
        <f aca="false">D66+D67</f>
        <v>0</v>
      </c>
      <c r="E68" s="19"/>
      <c r="F68" s="19"/>
    </row>
    <row r="69" customFormat="false" ht="18" hidden="false" customHeight="true" outlineLevel="0" collapsed="false">
      <c r="A69" s="40" t="s">
        <v>408</v>
      </c>
      <c r="B69" s="29" t="s">
        <v>622</v>
      </c>
      <c r="D69" s="27" t="n">
        <f aca="false">ROUND(MIN(D64+D65,05_BENEFICIOS!$E$58,MAX(0,16_PARAMETROS!$C$10*16_PARAMETROS!$C$5-D18-D32-D50)),-3)</f>
        <v>0</v>
      </c>
      <c r="E69" s="19"/>
      <c r="F69" s="19"/>
    </row>
    <row r="70" customFormat="false" ht="18" hidden="false" customHeight="true" outlineLevel="0" collapsed="false">
      <c r="A70" s="40" t="s">
        <v>411</v>
      </c>
      <c r="B70" s="29" t="s">
        <v>624</v>
      </c>
      <c r="D70" s="27" t="n">
        <f aca="false">ROUND(MIN(D64+D65,05_BENEFICIOS!$E$59),-3)</f>
        <v>0</v>
      </c>
      <c r="E70" s="19"/>
      <c r="F70" s="19"/>
    </row>
    <row r="71" customFormat="false" ht="18" hidden="false" customHeight="true" outlineLevel="0" collapsed="false">
      <c r="A71" s="40" t="s">
        <v>671</v>
      </c>
      <c r="B71" s="29" t="s">
        <v>672</v>
      </c>
      <c r="D71" s="27" t="n">
        <f aca="false">D69+D70</f>
        <v>0</v>
      </c>
      <c r="E71" s="19"/>
      <c r="F71" s="19"/>
    </row>
    <row r="72" customFormat="false" ht="18" hidden="false" customHeight="true" outlineLevel="0" collapsed="false">
      <c r="A72" s="40" t="s">
        <v>673</v>
      </c>
      <c r="B72" s="29" t="s">
        <v>628</v>
      </c>
      <c r="D72" s="27" t="n">
        <f aca="false">ROUND(MIN(D64+D65,D68+D71,MAX(0,D80-MAX(0,D21-05_BENEFICIOS!$E$65)-D35-D53)),-3)</f>
        <v>0</v>
      </c>
      <c r="E72" s="19" t="s">
        <v>674</v>
      </c>
      <c r="F72" s="19"/>
    </row>
    <row r="73" customFormat="false" ht="18" hidden="false" customHeight="true" outlineLevel="0" collapsed="false">
      <c r="A73" s="40" t="s">
        <v>675</v>
      </c>
      <c r="B73" s="29" t="s">
        <v>676</v>
      </c>
      <c r="D73" s="27" t="n">
        <f aca="false">MAX(0,D60-D61-D62-D63+D65-D72)</f>
        <v>0</v>
      </c>
      <c r="E73" s="19"/>
      <c r="F73" s="19"/>
    </row>
    <row r="74" customFormat="false" ht="18" hidden="false" customHeight="true" outlineLevel="0" collapsed="false">
      <c r="A74" s="40" t="s">
        <v>677</v>
      </c>
      <c r="B74" s="29" t="s">
        <v>633</v>
      </c>
      <c r="D74" s="27" t="n">
        <f aca="false">MAX(0,D61+D62+D63-D60-D65)</f>
        <v>0</v>
      </c>
      <c r="E74" s="19"/>
      <c r="F74" s="19"/>
    </row>
    <row r="75" customFormat="false" ht="18" hidden="false" customHeight="true" outlineLevel="0" collapsed="false">
      <c r="A75" s="40" t="s">
        <v>414</v>
      </c>
      <c r="B75" s="29" t="s">
        <v>634</v>
      </c>
      <c r="D75" s="27" t="n">
        <f aca="false">ROUND(MIN(D73,05_BENEFICIOS!$E$60),-3)</f>
        <v>0</v>
      </c>
      <c r="E75" s="19"/>
      <c r="F75" s="19"/>
    </row>
    <row r="76" customFormat="false" ht="18" hidden="false" customHeight="true" outlineLevel="0" collapsed="false">
      <c r="A76" s="40" t="s">
        <v>678</v>
      </c>
      <c r="B76" s="29" t="s">
        <v>679</v>
      </c>
      <c r="D76" s="27" t="n">
        <f aca="false">MAX(0,D73-D75)</f>
        <v>0</v>
      </c>
      <c r="E76" s="19"/>
      <c r="F76" s="19"/>
    </row>
    <row r="78" customFormat="false" ht="15" hidden="false" customHeight="false" outlineLevel="0" collapsed="false">
      <c r="A78" s="7" t="s">
        <v>680</v>
      </c>
      <c r="B78" s="7"/>
      <c r="D78" s="7"/>
      <c r="E78" s="7"/>
      <c r="F78" s="7"/>
    </row>
    <row r="79" customFormat="false" ht="15" hidden="false" customHeight="false" outlineLevel="0" collapsed="false">
      <c r="A79" s="19" t="s">
        <v>681</v>
      </c>
      <c r="B79" s="42" t="s">
        <v>682</v>
      </c>
      <c r="D79" s="27" t="n">
        <f aca="false">MAX(0,D12+D25+D42+D60+D46+D65-D13-D26-D43-D62)</f>
        <v>166283000</v>
      </c>
      <c r="E79" s="19" t="s">
        <v>683</v>
      </c>
      <c r="F79" s="19"/>
    </row>
    <row r="80" customFormat="false" ht="15" hidden="false" customHeight="false" outlineLevel="0" collapsed="false">
      <c r="A80" s="19" t="s">
        <v>681</v>
      </c>
      <c r="B80" s="42" t="s">
        <v>684</v>
      </c>
      <c r="D80" s="27" t="n">
        <f aca="false">ROUND(MIN(0.4*D79,16_PARAMETROS!$C$7*16_PARAMETROS!$C$5),-3)</f>
        <v>66513000</v>
      </c>
      <c r="E80" s="19" t="s">
        <v>685</v>
      </c>
      <c r="F80" s="19" t="s">
        <v>604</v>
      </c>
    </row>
    <row r="81" customFormat="false" ht="21.75" hidden="false" customHeight="true" outlineLevel="0" collapsed="false">
      <c r="A81" s="40" t="s">
        <v>686</v>
      </c>
      <c r="B81" s="29" t="s">
        <v>687</v>
      </c>
      <c r="D81" s="41" t="n">
        <f aca="false">MAX(0,D21+D22+D35+D39+D53+D57+D72+D76)</f>
        <v>166283000</v>
      </c>
      <c r="E81" s="19" t="s">
        <v>688</v>
      </c>
      <c r="F81" s="19" t="s">
        <v>689</v>
      </c>
    </row>
    <row r="82" customFormat="false" ht="21.75" hidden="false" customHeight="true" outlineLevel="0" collapsed="false">
      <c r="A82" s="40" t="s">
        <v>690</v>
      </c>
      <c r="B82" s="29" t="s">
        <v>691</v>
      </c>
      <c r="D82" s="41" t="n">
        <f aca="false">MIN(D81,D6+D21+D35+D53+D72+D141)</f>
        <v>64111000</v>
      </c>
      <c r="E82" s="19" t="s">
        <v>692</v>
      </c>
      <c r="F82" s="19" t="s">
        <v>693</v>
      </c>
    </row>
    <row r="83" customFormat="false" ht="18" hidden="false" customHeight="true" outlineLevel="0" collapsed="false">
      <c r="A83" s="40" t="s">
        <v>694</v>
      </c>
      <c r="B83" s="29" t="s">
        <v>695</v>
      </c>
      <c r="D83" s="27" t="n">
        <f aca="false">MAX(0,D81-D82)</f>
        <v>102172000</v>
      </c>
      <c r="E83" s="19"/>
      <c r="F83" s="19"/>
    </row>
    <row r="84" customFormat="false" ht="18" hidden="false" customHeight="true" outlineLevel="0" collapsed="false">
      <c r="A84" s="40" t="s">
        <v>321</v>
      </c>
      <c r="B84" s="29" t="s">
        <v>696</v>
      </c>
      <c r="D84" s="27" t="n">
        <f aca="false">ROUND(05_BENEFICIOS!$F$27,-3)</f>
        <v>0</v>
      </c>
      <c r="E84" s="19" t="s">
        <v>697</v>
      </c>
      <c r="F84" s="19" t="s">
        <v>698</v>
      </c>
    </row>
    <row r="85" customFormat="false" ht="18" hidden="false" customHeight="true" outlineLevel="0" collapsed="false">
      <c r="A85" s="40" t="s">
        <v>324</v>
      </c>
      <c r="B85" s="29" t="s">
        <v>699</v>
      </c>
      <c r="D85" s="27" t="n">
        <f aca="false">ROUND(05_BENEFICIOS!$F$28,-3)</f>
        <v>0</v>
      </c>
      <c r="E85" s="19"/>
      <c r="F85" s="19" t="s">
        <v>325</v>
      </c>
    </row>
    <row r="86" customFormat="false" ht="18" hidden="false" customHeight="true" outlineLevel="0" collapsed="false">
      <c r="A86" s="40" t="s">
        <v>327</v>
      </c>
      <c r="B86" s="29" t="s">
        <v>700</v>
      </c>
      <c r="D86" s="27" t="n">
        <f aca="false">ROUND(05_BENEFICIOS!$F$29,-3)</f>
        <v>0</v>
      </c>
      <c r="E86" s="19"/>
      <c r="F86" s="19" t="s">
        <v>701</v>
      </c>
    </row>
    <row r="87" customFormat="false" ht="18" hidden="false" customHeight="true" outlineLevel="0" collapsed="false">
      <c r="A87" s="40" t="s">
        <v>702</v>
      </c>
      <c r="B87" s="29" t="s">
        <v>703</v>
      </c>
      <c r="D87" s="41" t="n">
        <f aca="false">MAX(0,D83-D84-D85+D86)</f>
        <v>102172000</v>
      </c>
      <c r="E87" s="19"/>
      <c r="F87" s="19"/>
    </row>
    <row r="88" customFormat="false" ht="18" hidden="false" customHeight="true" outlineLevel="0" collapsed="false">
      <c r="A88" s="40" t="s">
        <v>428</v>
      </c>
      <c r="B88" s="29" t="s">
        <v>704</v>
      </c>
      <c r="D88" s="27" t="n">
        <f aca="false">ROUND(MAX(0,D9*16_PARAMETROS!$C$25+05_BENEFICIOS!$E$64),-3)</f>
        <v>0</v>
      </c>
      <c r="E88" s="19" t="s">
        <v>705</v>
      </c>
      <c r="F88" s="19" t="s">
        <v>706</v>
      </c>
    </row>
    <row r="90" customFormat="false" ht="15" hidden="false" customHeight="false" outlineLevel="0" collapsed="false">
      <c r="A90" s="7" t="s">
        <v>707</v>
      </c>
      <c r="B90" s="7"/>
      <c r="D90" s="7"/>
      <c r="E90" s="7"/>
      <c r="F90" s="7"/>
    </row>
    <row r="91" customFormat="false" ht="18" hidden="false" customHeight="true" outlineLevel="0" collapsed="false">
      <c r="A91" s="40" t="s">
        <v>209</v>
      </c>
      <c r="B91" s="29" t="s">
        <v>708</v>
      </c>
      <c r="D91" s="27" t="n">
        <f aca="false">ROUND(04_INGRESOS!$F$33,-3)</f>
        <v>0</v>
      </c>
      <c r="E91" s="19"/>
      <c r="F91" s="19" t="s">
        <v>709</v>
      </c>
    </row>
    <row r="92" customFormat="false" ht="18" hidden="false" customHeight="true" outlineLevel="0" collapsed="false">
      <c r="A92" s="40" t="s">
        <v>330</v>
      </c>
      <c r="B92" s="29" t="s">
        <v>579</v>
      </c>
      <c r="D92" s="27" t="n">
        <f aca="false">ROUND(05_BENEFICIOS!$F$30,-3)</f>
        <v>0</v>
      </c>
      <c r="E92" s="19"/>
      <c r="F92" s="19"/>
    </row>
    <row r="93" customFormat="false" ht="18" hidden="false" customHeight="true" outlineLevel="0" collapsed="false">
      <c r="A93" s="40" t="s">
        <v>710</v>
      </c>
      <c r="B93" s="29" t="s">
        <v>711</v>
      </c>
      <c r="D93" s="27" t="n">
        <f aca="false">MAX(0,D91-D92)</f>
        <v>0</v>
      </c>
      <c r="E93" s="19"/>
      <c r="F93" s="19"/>
    </row>
    <row r="94" customFormat="false" ht="18" hidden="false" customHeight="true" outlineLevel="0" collapsed="false">
      <c r="A94" s="40" t="s">
        <v>332</v>
      </c>
      <c r="B94" s="29" t="s">
        <v>712</v>
      </c>
      <c r="D94" s="27" t="n">
        <f aca="false">ROUND(MIN(D93,05_BENEFICIOS!$F$31*1000*16_PARAMETROS!$C$5),-3)</f>
        <v>0</v>
      </c>
      <c r="E94" s="19" t="s">
        <v>713</v>
      </c>
      <c r="F94" s="19" t="s">
        <v>714</v>
      </c>
    </row>
    <row r="95" customFormat="false" ht="18" hidden="false" customHeight="true" outlineLevel="0" collapsed="false">
      <c r="A95" s="40" t="s">
        <v>715</v>
      </c>
      <c r="B95" s="29" t="s">
        <v>716</v>
      </c>
      <c r="D95" s="27" t="n">
        <f aca="false">MAX(0,D93-D94)</f>
        <v>0</v>
      </c>
      <c r="E95" s="19"/>
      <c r="F95" s="19"/>
    </row>
    <row r="97" customFormat="false" ht="15" hidden="false" customHeight="false" outlineLevel="0" collapsed="false">
      <c r="A97" s="7" t="s">
        <v>717</v>
      </c>
      <c r="B97" s="7"/>
      <c r="D97" s="7"/>
      <c r="E97" s="7"/>
      <c r="F97" s="7"/>
    </row>
    <row r="98" customFormat="false" ht="18" hidden="false" customHeight="true" outlineLevel="0" collapsed="false">
      <c r="A98" s="40" t="s">
        <v>335</v>
      </c>
      <c r="B98" s="29" t="s">
        <v>718</v>
      </c>
      <c r="D98" s="27" t="n">
        <f aca="false">ROUND(05_BENEFICIOS!$F$32,-3)</f>
        <v>0</v>
      </c>
      <c r="E98" s="19" t="s">
        <v>719</v>
      </c>
      <c r="F98" s="19" t="s">
        <v>720</v>
      </c>
    </row>
    <row r="99" customFormat="false" ht="18" hidden="false" customHeight="true" outlineLevel="0" collapsed="false">
      <c r="A99" s="40" t="s">
        <v>417</v>
      </c>
      <c r="B99" s="29" t="s">
        <v>579</v>
      </c>
      <c r="D99" s="27" t="n">
        <f aca="false">ROUND(MIN(D98,05_BENEFICIOS!$E$61),-3)</f>
        <v>0</v>
      </c>
      <c r="E99" s="19"/>
      <c r="F99" s="19"/>
    </row>
    <row r="100" customFormat="false" ht="18" hidden="false" customHeight="true" outlineLevel="0" collapsed="false">
      <c r="A100" s="40" t="s">
        <v>721</v>
      </c>
      <c r="B100" s="29" t="s">
        <v>722</v>
      </c>
      <c r="D100" s="27" t="n">
        <f aca="false">MAX(0,D98-D99)</f>
        <v>0</v>
      </c>
      <c r="E100" s="19"/>
      <c r="F100" s="19"/>
    </row>
    <row r="101" customFormat="false" ht="18" hidden="false" customHeight="true" outlineLevel="0" collapsed="false">
      <c r="A101" s="40" t="s">
        <v>213</v>
      </c>
      <c r="B101" s="29" t="s">
        <v>723</v>
      </c>
      <c r="D101" s="27" t="n">
        <f aca="false">ROUND(04_INGRESOS!$F$34,-3)</f>
        <v>0</v>
      </c>
      <c r="E101" s="19" t="s">
        <v>724</v>
      </c>
      <c r="F101" s="19" t="s">
        <v>725</v>
      </c>
    </row>
    <row r="102" customFormat="false" ht="18" hidden="false" customHeight="true" outlineLevel="0" collapsed="false">
      <c r="A102" s="40" t="s">
        <v>216</v>
      </c>
      <c r="B102" s="29" t="s">
        <v>726</v>
      </c>
      <c r="D102" s="27" t="n">
        <f aca="false">ROUND(04_INGRESOS!$F$35,-3)</f>
        <v>0</v>
      </c>
      <c r="E102" s="19" t="s">
        <v>727</v>
      </c>
      <c r="F102" s="19" t="s">
        <v>728</v>
      </c>
    </row>
    <row r="103" customFormat="false" ht="18" hidden="false" customHeight="true" outlineLevel="0" collapsed="false">
      <c r="A103" s="40" t="s">
        <v>420</v>
      </c>
      <c r="B103" s="29" t="s">
        <v>419</v>
      </c>
      <c r="D103" s="27" t="n">
        <f aca="false">ROUND(05_BENEFICIOS!$E$62,-3)</f>
        <v>0</v>
      </c>
      <c r="E103" s="19" t="s">
        <v>697</v>
      </c>
      <c r="F103" s="19"/>
    </row>
    <row r="104" customFormat="false" ht="18" hidden="false" customHeight="true" outlineLevel="0" collapsed="false">
      <c r="A104" s="40" t="s">
        <v>424</v>
      </c>
      <c r="B104" s="29" t="s">
        <v>729</v>
      </c>
      <c r="D104" s="27" t="n">
        <f aca="false">ROUND(MIN(D103,05_BENEFICIOS!$E$63),-3)</f>
        <v>0</v>
      </c>
      <c r="E104" s="19"/>
      <c r="F104" s="19"/>
    </row>
    <row r="105" customFormat="false" ht="18" hidden="false" customHeight="true" outlineLevel="0" collapsed="false">
      <c r="A105" s="40" t="s">
        <v>730</v>
      </c>
      <c r="B105" s="29" t="s">
        <v>731</v>
      </c>
      <c r="D105" s="41" t="n">
        <f aca="false">ROUND(MAX(D87,D88)+D95+D101+D102-D116,-3)</f>
        <v>102172000</v>
      </c>
      <c r="E105" s="19" t="s">
        <v>732</v>
      </c>
      <c r="F105" s="19" t="s">
        <v>733</v>
      </c>
    </row>
    <row r="107" customFormat="false" ht="15" hidden="false" customHeight="false" outlineLevel="0" collapsed="false">
      <c r="A107" s="7" t="s">
        <v>734</v>
      </c>
      <c r="B107" s="7"/>
      <c r="D107" s="7"/>
      <c r="E107" s="7"/>
      <c r="F107" s="7"/>
    </row>
    <row r="108" customFormat="false" ht="18" hidden="false" customHeight="true" outlineLevel="0" collapsed="false">
      <c r="A108" s="40" t="s">
        <v>220</v>
      </c>
      <c r="B108" s="29" t="s">
        <v>735</v>
      </c>
      <c r="D108" s="27" t="n">
        <f aca="false">ROUND(04_INGRESOS!$F$36+04_INGRESOS!$F$37,-3)</f>
        <v>0</v>
      </c>
      <c r="E108" s="19"/>
      <c r="F108" s="19" t="s">
        <v>736</v>
      </c>
    </row>
    <row r="109" customFormat="false" ht="18" hidden="false" customHeight="true" outlineLevel="0" collapsed="false">
      <c r="A109" s="40" t="s">
        <v>338</v>
      </c>
      <c r="B109" s="29" t="s">
        <v>737</v>
      </c>
      <c r="D109" s="27" t="n">
        <f aca="false">ROUND(05_BENEFICIOS!$F$33,-3)</f>
        <v>0</v>
      </c>
      <c r="E109" s="19"/>
      <c r="F109" s="19"/>
    </row>
    <row r="110" customFormat="false" ht="18" hidden="false" customHeight="true" outlineLevel="0" collapsed="false">
      <c r="A110" s="40" t="s">
        <v>340</v>
      </c>
      <c r="B110" s="29" t="s">
        <v>339</v>
      </c>
      <c r="D110" s="27" t="n">
        <f aca="false">ROUND(MIN(MAX(0,D108-D109),05_BENEFICIOS!$F$34),-3)</f>
        <v>0</v>
      </c>
      <c r="E110" s="19"/>
      <c r="F110" s="19" t="s">
        <v>341</v>
      </c>
    </row>
    <row r="111" customFormat="false" ht="18" hidden="false" customHeight="true" outlineLevel="0" collapsed="false">
      <c r="A111" s="40" t="s">
        <v>738</v>
      </c>
      <c r="B111" s="29" t="s">
        <v>739</v>
      </c>
      <c r="D111" s="27" t="n">
        <f aca="false">MAX(0,D108-D109-D110)</f>
        <v>0</v>
      </c>
      <c r="E111" s="19"/>
      <c r="F111" s="19"/>
    </row>
    <row r="113" customFormat="false" ht="15" hidden="false" customHeight="false" outlineLevel="0" collapsed="false">
      <c r="A113" s="7" t="s">
        <v>740</v>
      </c>
      <c r="B113" s="7"/>
      <c r="D113" s="7"/>
      <c r="E113" s="7"/>
      <c r="F113" s="7"/>
    </row>
    <row r="114" customFormat="false" ht="21.75" hidden="false" customHeight="true" outlineLevel="0" collapsed="false">
      <c r="A114" s="40" t="s">
        <v>741</v>
      </c>
      <c r="B114" s="29" t="s">
        <v>742</v>
      </c>
      <c r="D114" s="41" t="n">
        <f aca="false">IF(D87&gt;=D88,ROUND((TRUNC((TRUNC(D105/16_PARAMETROS!$C$5,2)-VLOOKUP(MAX(0,TRUNC(D105/16_PARAMETROS!$C$5,2)-0.000000001),16_PARAMETROS!$B$31:$E$37,1,TRUE()))*VLOOKUP(MAX(0,TRUNC(D105/16_PARAMETROS!$C$5,2)-0.000000001),16_PARAMETROS!$B$31:$E$37,3,TRUE())+0.000000001,2)+VLOOKUP(MAX(0,TRUNC(D105/16_PARAMETROS!$C$5,2)-0.000000001),16_PARAMETROS!$B$31:$E$37,4,TRUE()))*16_PARAMETROS!$C$5,-3),0)</f>
        <v>10680000</v>
      </c>
      <c r="E114" s="19" t="s">
        <v>743</v>
      </c>
      <c r="F114" s="19" t="s">
        <v>744</v>
      </c>
    </row>
    <row r="115" customFormat="false" ht="18" hidden="false" customHeight="true" outlineLevel="0" collapsed="false">
      <c r="A115" s="40" t="s">
        <v>745</v>
      </c>
      <c r="B115" s="29" t="s">
        <v>746</v>
      </c>
      <c r="D115" s="27" t="n">
        <f aca="false">IF(D88&gt;D87,ROUND((TRUNC((TRUNC(D105/16_PARAMETROS!$C$5,2)-VLOOKUP(MAX(0,TRUNC(D105/16_PARAMETROS!$C$5,2)-0.000000001),16_PARAMETROS!$B$31:$E$37,1,TRUE()))*VLOOKUP(MAX(0,TRUNC(D105/16_PARAMETROS!$C$5,2)-0.000000001),16_PARAMETROS!$B$31:$E$37,3,TRUE())+0.000000001,2)+VLOOKUP(MAX(0,TRUNC(D105/16_PARAMETROS!$C$5,2)-0.000000001),16_PARAMETROS!$B$31:$E$37,4,TRUE()))*16_PARAMETROS!$C$5,-3),0)</f>
        <v>0</v>
      </c>
      <c r="E115" s="19"/>
      <c r="F115" s="19"/>
    </row>
    <row r="116" customFormat="false" ht="18" hidden="false" customHeight="true" outlineLevel="0" collapsed="false">
      <c r="A116" s="40" t="s">
        <v>747</v>
      </c>
      <c r="B116" s="29" t="s">
        <v>748</v>
      </c>
      <c r="D116" s="27" t="n">
        <f aca="false">ROUND(D102*16_PARAMETROS!$C$24,-3)</f>
        <v>0</v>
      </c>
      <c r="E116" s="19"/>
      <c r="F116" s="19" t="s">
        <v>749</v>
      </c>
    </row>
    <row r="117" customFormat="false" ht="18" hidden="false" customHeight="true" outlineLevel="0" collapsed="false">
      <c r="A117" s="40" t="s">
        <v>750</v>
      </c>
      <c r="B117" s="29" t="s">
        <v>751</v>
      </c>
      <c r="D117" s="27" t="n">
        <f aca="false">ROUND((TRUNC((TRUNC(D100/16_PARAMETROS!$C$5,2)-VLOOKUP(MAX(0,TRUNC(D100/16_PARAMETROS!$C$5,2)-0.000000001),16_PARAMETROS!$B$41:$E$44,1,TRUE()))*VLOOKUP(MAX(0,TRUNC(D100/16_PARAMETROS!$C$5,2)-0.000000001),16_PARAMETROS!$B$41:$E$44,3,TRUE())+0.000000001,2)+VLOOKUP(MAX(0,TRUNC(D100/16_PARAMETROS!$C$5,2)-0.000000001),16_PARAMETROS!$B$41:$E$44,4,TRUE()))*16_PARAMETROS!$C$5,-3)</f>
        <v>0</v>
      </c>
      <c r="E117" s="19" t="s">
        <v>752</v>
      </c>
      <c r="F117" s="19"/>
    </row>
    <row r="118" customFormat="false" ht="18" hidden="false" customHeight="true" outlineLevel="0" collapsed="false">
      <c r="A118" s="40" t="s">
        <v>753</v>
      </c>
      <c r="B118" s="29" t="s">
        <v>754</v>
      </c>
      <c r="D118" s="27" t="n">
        <f aca="false">ROUND(MAX(0,D103-D104)*0.35,-3)</f>
        <v>0</v>
      </c>
      <c r="E118" s="19"/>
      <c r="F118" s="19"/>
    </row>
    <row r="119" customFormat="false" ht="18" hidden="false" customHeight="true" outlineLevel="0" collapsed="false">
      <c r="A119" s="40" t="s">
        <v>755</v>
      </c>
      <c r="B119" s="29" t="s">
        <v>756</v>
      </c>
      <c r="D119" s="41" t="n">
        <f aca="false">SUM(D114:D118)</f>
        <v>10680000</v>
      </c>
      <c r="E119" s="19"/>
      <c r="F119" s="19"/>
    </row>
    <row r="120" customFormat="false" ht="18" hidden="false" customHeight="true" outlineLevel="0" collapsed="false">
      <c r="A120" s="40" t="s">
        <v>345</v>
      </c>
      <c r="B120" s="29" t="s">
        <v>757</v>
      </c>
      <c r="D120" s="27" t="n">
        <f aca="false">ROUND(05_BENEFICIOS!$F$36,-3)</f>
        <v>0</v>
      </c>
      <c r="E120" s="19"/>
      <c r="F120" s="19" t="s">
        <v>346</v>
      </c>
    </row>
    <row r="121" customFormat="false" ht="18" hidden="false" customHeight="true" outlineLevel="0" collapsed="false">
      <c r="A121" s="40" t="s">
        <v>348</v>
      </c>
      <c r="B121" s="29" t="s">
        <v>758</v>
      </c>
      <c r="D121" s="27" t="n">
        <f aca="false">ROUND(05_BENEFICIOS!$F$37,-3)</f>
        <v>0</v>
      </c>
      <c r="E121" s="19"/>
      <c r="F121" s="19" t="s">
        <v>759</v>
      </c>
    </row>
    <row r="122" customFormat="false" ht="18" hidden="false" customHeight="true" outlineLevel="0" collapsed="false">
      <c r="A122" s="40" t="s">
        <v>352</v>
      </c>
      <c r="B122" s="29" t="s">
        <v>760</v>
      </c>
      <c r="D122" s="27" t="n">
        <f aca="false">ROUND(IF(TRUNC(MAX(0,D101+D102-D116)/16_PARAMETROS!$C$5,2)&lt;=1090,0,TRUNC((TRUNC(MAX(0,D101+D102-D116)/16_PARAMETROS!$C$5,2)-1090)*0.19+0.000000001,2)*16_PARAMETROS!$C$5)+05_BENEFICIOS!$F$38,-3)</f>
        <v>0</v>
      </c>
      <c r="E122" s="19"/>
      <c r="F122" s="19" t="s">
        <v>761</v>
      </c>
    </row>
    <row r="123" customFormat="false" ht="18" hidden="false" customHeight="true" outlineLevel="0" collapsed="false">
      <c r="A123" s="40" t="s">
        <v>762</v>
      </c>
      <c r="B123" s="29" t="s">
        <v>763</v>
      </c>
      <c r="D123" s="27" t="n">
        <f aca="false">MIN(SUM(D120:D122),D119)</f>
        <v>0</v>
      </c>
      <c r="E123" s="19" t="s">
        <v>764</v>
      </c>
      <c r="F123" s="19" t="s">
        <v>765</v>
      </c>
    </row>
    <row r="124" customFormat="false" ht="18" hidden="false" customHeight="true" outlineLevel="0" collapsed="false">
      <c r="A124" s="40" t="s">
        <v>766</v>
      </c>
      <c r="B124" s="29" t="s">
        <v>767</v>
      </c>
      <c r="D124" s="41" t="n">
        <f aca="false">MAX(0,D119-D123)</f>
        <v>10680000</v>
      </c>
      <c r="E124" s="19"/>
      <c r="F124" s="19"/>
    </row>
    <row r="125" customFormat="false" ht="18" hidden="false" customHeight="true" outlineLevel="0" collapsed="false">
      <c r="A125" s="40" t="s">
        <v>768</v>
      </c>
      <c r="B125" s="29" t="s">
        <v>769</v>
      </c>
      <c r="D125" s="27" t="n">
        <f aca="false">ROUND((D111-MIN(D111,ROUND(04_INGRESOS!$F$37,-3)))*16_PARAMETROS!$C$22+MIN(D111,ROUND(04_INGRESOS!$F$37,-3))*16_PARAMETROS!$C$23,-3)</f>
        <v>0</v>
      </c>
      <c r="E125" s="19" t="s">
        <v>770</v>
      </c>
      <c r="F125" s="19" t="s">
        <v>771</v>
      </c>
    </row>
    <row r="126" customFormat="false" ht="18" hidden="false" customHeight="true" outlineLevel="0" collapsed="false">
      <c r="A126" s="40" t="s">
        <v>343</v>
      </c>
      <c r="B126" s="29" t="s">
        <v>772</v>
      </c>
      <c r="D126" s="27" t="n">
        <f aca="false">ROUND(MIN(D125,05_BENEFICIOS!$F$35),-3)</f>
        <v>0</v>
      </c>
      <c r="E126" s="19"/>
      <c r="F126" s="19"/>
    </row>
    <row r="127" customFormat="false" ht="18" hidden="false" customHeight="true" outlineLevel="0" collapsed="false">
      <c r="A127" s="40" t="s">
        <v>773</v>
      </c>
      <c r="B127" s="29" t="s">
        <v>774</v>
      </c>
      <c r="D127" s="41" t="n">
        <f aca="false">MAX(0,D124+D125-D126)</f>
        <v>10680000</v>
      </c>
      <c r="E127" s="19"/>
      <c r="F127" s="19"/>
    </row>
    <row r="129" customFormat="false" ht="15" hidden="false" customHeight="false" outlineLevel="0" collapsed="false">
      <c r="A129" s="7" t="s">
        <v>775</v>
      </c>
      <c r="B129" s="7"/>
      <c r="D129" s="7"/>
      <c r="E129" s="7"/>
      <c r="F129" s="7"/>
    </row>
    <row r="130" customFormat="false" ht="18" hidden="false" customHeight="true" outlineLevel="0" collapsed="false">
      <c r="A130" s="40" t="s">
        <v>776</v>
      </c>
      <c r="B130" s="29" t="s">
        <v>777</v>
      </c>
      <c r="D130" s="27" t="n">
        <f aca="false">ROUND(03_PERFIL!$B$21,-3)</f>
        <v>0</v>
      </c>
      <c r="E130" s="19" t="s">
        <v>778</v>
      </c>
      <c r="F130" s="19" t="s">
        <v>779</v>
      </c>
    </row>
    <row r="131" customFormat="false" ht="18" hidden="false" customHeight="true" outlineLevel="0" collapsed="false">
      <c r="A131" s="40" t="s">
        <v>780</v>
      </c>
      <c r="B131" s="29" t="s">
        <v>781</v>
      </c>
      <c r="D131" s="27" t="n">
        <f aca="false">ROUND(03_PERFIL!$B$20,-3)</f>
        <v>0</v>
      </c>
      <c r="E131" s="19" t="s">
        <v>782</v>
      </c>
      <c r="F131" s="19"/>
    </row>
    <row r="132" customFormat="false" ht="18" hidden="false" customHeight="true" outlineLevel="0" collapsed="false">
      <c r="A132" s="40" t="s">
        <v>783</v>
      </c>
      <c r="B132" s="29" t="s">
        <v>784</v>
      </c>
      <c r="D132" s="41" t="n">
        <f aca="false">ROUND(04_INGRESOS!$F$38,-3)</f>
        <v>13280000</v>
      </c>
      <c r="E132" s="19"/>
      <c r="F132" s="19" t="s">
        <v>785</v>
      </c>
    </row>
    <row r="133" customFormat="false" ht="15" hidden="false" customHeight="false" outlineLevel="0" collapsed="false">
      <c r="A133" s="19" t="s">
        <v>681</v>
      </c>
      <c r="B133" s="42" t="s">
        <v>786</v>
      </c>
      <c r="D133" s="27" t="n">
        <f aca="false">MAX(0,ROUND(IF(03_PERFIL!$B$18=1,0.25,IF(03_PERFIL!$B$18=2,0.5,0.75))*D124-D132,-3))</f>
        <v>0</v>
      </c>
      <c r="E133" s="19"/>
      <c r="F133" s="19" t="s">
        <v>779</v>
      </c>
    </row>
    <row r="134" customFormat="false" ht="15" hidden="false" customHeight="false" outlineLevel="0" collapsed="false">
      <c r="A134" s="19" t="s">
        <v>681</v>
      </c>
      <c r="B134" s="42" t="s">
        <v>787</v>
      </c>
      <c r="D134" s="27" t="n">
        <f aca="false">IF(03_PERFIL!$B$18=1,D133,MAX(0,ROUND(IF(03_PERFIL!$B$18=2,0.5,0.75)*(D124+03_PERFIL!$B$19)/2-D132,-3)))</f>
        <v>0</v>
      </c>
      <c r="E134" s="19"/>
      <c r="F134" s="19" t="s">
        <v>779</v>
      </c>
    </row>
    <row r="135" customFormat="false" ht="18" hidden="false" customHeight="true" outlineLevel="0" collapsed="false">
      <c r="A135" s="40" t="s">
        <v>788</v>
      </c>
      <c r="B135" s="29" t="s">
        <v>789</v>
      </c>
      <c r="D135" s="27" t="n">
        <f aca="false">MIN(D133,D134)</f>
        <v>0</v>
      </c>
      <c r="E135" s="19"/>
      <c r="F135" s="19" t="s">
        <v>779</v>
      </c>
    </row>
    <row r="136" customFormat="false" ht="18" hidden="false" customHeight="true" outlineLevel="0" collapsed="false">
      <c r="A136" s="40" t="s">
        <v>790</v>
      </c>
      <c r="B136" s="29" t="s">
        <v>791</v>
      </c>
      <c r="D136" s="27" t="n">
        <f aca="false">MAX(0,D127+D135-D130-D131-D132)</f>
        <v>0</v>
      </c>
      <c r="E136" s="19"/>
      <c r="F136" s="19"/>
    </row>
    <row r="137" customFormat="false" ht="18" hidden="false" customHeight="true" outlineLevel="0" collapsed="false">
      <c r="A137" s="40" t="s">
        <v>355</v>
      </c>
      <c r="B137" s="29" t="s">
        <v>354</v>
      </c>
      <c r="D137" s="27" t="n">
        <f aca="false">ROUND(05_BENEFICIOS!$F$39,-3)</f>
        <v>0</v>
      </c>
      <c r="E137" s="19" t="s">
        <v>792</v>
      </c>
      <c r="F137" s="19" t="s">
        <v>793</v>
      </c>
    </row>
    <row r="138" customFormat="false" ht="18" hidden="false" customHeight="true" outlineLevel="0" collapsed="false">
      <c r="A138" s="40" t="s">
        <v>794</v>
      </c>
      <c r="B138" s="29" t="s">
        <v>795</v>
      </c>
      <c r="D138" s="41" t="n">
        <f aca="false">MAX(0,D127+D135+D137-D130-D131-D132)</f>
        <v>0</v>
      </c>
      <c r="E138" s="19"/>
      <c r="F138" s="19"/>
    </row>
    <row r="139" customFormat="false" ht="18" hidden="false" customHeight="true" outlineLevel="0" collapsed="false">
      <c r="A139" s="40" t="s">
        <v>796</v>
      </c>
      <c r="B139" s="29" t="s">
        <v>797</v>
      </c>
      <c r="D139" s="41" t="n">
        <f aca="false">MAX(0,D130+D131+D132-D127-D135-D137)</f>
        <v>2600000</v>
      </c>
      <c r="E139" s="19" t="s">
        <v>798</v>
      </c>
      <c r="F139" s="19" t="s">
        <v>799</v>
      </c>
    </row>
    <row r="140" customFormat="false" ht="18" hidden="false" customHeight="true" outlineLevel="0" collapsed="false">
      <c r="A140" s="40" t="s">
        <v>800</v>
      </c>
      <c r="B140" s="29" t="s">
        <v>801</v>
      </c>
      <c r="D140" s="27" t="n">
        <f aca="false">06_DEPENDIENTES!$B$17</f>
        <v>1</v>
      </c>
      <c r="E140" s="19"/>
      <c r="F140" s="19"/>
    </row>
    <row r="141" customFormat="false" ht="21.75" hidden="false" customHeight="true" outlineLevel="0" collapsed="false">
      <c r="A141" s="40" t="s">
        <v>308</v>
      </c>
      <c r="B141" s="29" t="s">
        <v>802</v>
      </c>
      <c r="D141" s="41" t="n">
        <f aca="false">ROUND(MIN(MAX(0,D21+D22+D35+D39),05_BENEFICIOS!$F$22),-3)</f>
        <v>3586000</v>
      </c>
      <c r="E141" s="19" t="s">
        <v>803</v>
      </c>
      <c r="F141" s="19" t="s">
        <v>804</v>
      </c>
    </row>
    <row r="142" customFormat="false" ht="18" hidden="false" customHeight="true" outlineLevel="0" collapsed="false">
      <c r="A142" s="40" t="s">
        <v>805</v>
      </c>
      <c r="B142" s="29" t="s">
        <v>806</v>
      </c>
      <c r="D142" s="13" t="str">
        <f aca="false">IF(D25=0,"",IF(D27/D25&gt;0.6,"X",""))</f>
        <v/>
      </c>
      <c r="E142" s="19"/>
      <c r="F142" s="19" t="s">
        <v>807</v>
      </c>
    </row>
    <row r="143" customFormat="false" ht="18" hidden="false" customHeight="true" outlineLevel="0" collapsed="false">
      <c r="A143" s="40" t="s">
        <v>359</v>
      </c>
      <c r="B143" s="29" t="s">
        <v>808</v>
      </c>
      <c r="D143" s="27" t="n">
        <f aca="false">ROUND(05_BENEFICIOS!$F$40,-3)</f>
        <v>0</v>
      </c>
      <c r="E143" s="19"/>
      <c r="F143" s="19" t="s">
        <v>809</v>
      </c>
    </row>
    <row r="144" customFormat="false" ht="15" hidden="false" customHeight="false" outlineLevel="0" collapsed="false">
      <c r="A144" s="7" t="s">
        <v>810</v>
      </c>
      <c r="B144" s="7"/>
      <c r="D144" s="7"/>
      <c r="E144" s="7"/>
      <c r="F144" s="7"/>
    </row>
    <row r="145" customFormat="false" ht="18" hidden="false" customHeight="true" outlineLevel="0" collapsed="false">
      <c r="A145" s="40" t="s">
        <v>811</v>
      </c>
      <c r="B145" s="29" t="s">
        <v>812</v>
      </c>
      <c r="D145" s="41" t="n">
        <f aca="false">D138+D143</f>
        <v>0</v>
      </c>
      <c r="E145" s="19"/>
      <c r="F145" s="19"/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496B0"/>
    <pageSetUpPr fitToPage="false"/>
  </sheetPr>
  <dimension ref="A1:F1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3"/>
    <col collapsed="false" customWidth="true" hidden="false" outlineLevel="0" max="4" min="4" style="0" width="16"/>
    <col collapsed="false" customWidth="true" hidden="false" outlineLevel="0" max="5" min="5" style="0" width="52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813</v>
      </c>
      <c r="B1" s="1"/>
      <c r="D1" s="1"/>
      <c r="E1" s="1"/>
      <c r="F1" s="1"/>
    </row>
    <row r="2" customFormat="false" ht="24" hidden="false" customHeight="true" outlineLevel="0" collapsed="false">
      <c r="A2" s="15" t="s">
        <v>814</v>
      </c>
      <c r="B2" s="15"/>
      <c r="C2" s="15"/>
      <c r="D2" s="15"/>
      <c r="E2" s="15"/>
      <c r="F2" s="19" t="str">
        <f aca="false">HYPERLINK("#'01_INICIO'!A1","← Volver a 01_INICIO")</f>
        <v>← Volver a 01_INICIO</v>
      </c>
    </row>
    <row r="4" customFormat="false" ht="15" hidden="false" customHeight="false" outlineLevel="0" collapsed="false">
      <c r="A4" s="2" t="s">
        <v>149</v>
      </c>
      <c r="B4" s="2" t="s">
        <v>143</v>
      </c>
      <c r="D4" s="2" t="s">
        <v>67</v>
      </c>
      <c r="E4" s="2" t="s">
        <v>559</v>
      </c>
      <c r="F4" s="2" t="s">
        <v>560</v>
      </c>
    </row>
    <row r="5" customFormat="false" ht="15" hidden="false" customHeight="false" outlineLevel="0" collapsed="false">
      <c r="A5" s="7" t="s">
        <v>561</v>
      </c>
      <c r="B5" s="7"/>
      <c r="D5" s="7"/>
      <c r="E5" s="7"/>
      <c r="F5" s="7"/>
    </row>
    <row r="6" customFormat="false" ht="33" hidden="false" customHeight="true" outlineLevel="0" collapsed="false">
      <c r="A6" s="40" t="s">
        <v>311</v>
      </c>
      <c r="B6" s="29" t="s">
        <v>562</v>
      </c>
      <c r="D6" s="43" t="n">
        <f aca="false">IF(D22+D39+D57+D76&gt;0,(05_BENEFICIOS!$F$23),0)</f>
        <v>200000</v>
      </c>
      <c r="E6" s="19" t="s">
        <v>563</v>
      </c>
      <c r="F6" s="19" t="s">
        <v>564</v>
      </c>
    </row>
    <row r="7" customFormat="false" ht="18" hidden="false" customHeight="true" outlineLevel="0" collapsed="false">
      <c r="A7" s="40" t="s">
        <v>565</v>
      </c>
      <c r="B7" s="29" t="s">
        <v>566</v>
      </c>
      <c r="D7" s="44" t="n">
        <f aca="false">(07_PATRIMONIO!$E$31)</f>
        <v>297000000</v>
      </c>
      <c r="E7" s="19" t="s">
        <v>567</v>
      </c>
      <c r="F7" s="19" t="s">
        <v>568</v>
      </c>
    </row>
    <row r="8" customFormat="false" ht="18" hidden="false" customHeight="true" outlineLevel="0" collapsed="false">
      <c r="A8" s="40" t="s">
        <v>569</v>
      </c>
      <c r="B8" s="29" t="s">
        <v>548</v>
      </c>
      <c r="D8" s="43" t="n">
        <f aca="false">(07_PATRIMONIO!$E$32)</f>
        <v>63000000</v>
      </c>
      <c r="E8" s="19" t="s">
        <v>570</v>
      </c>
      <c r="F8" s="19" t="s">
        <v>571</v>
      </c>
    </row>
    <row r="9" customFormat="false" ht="18" hidden="false" customHeight="true" outlineLevel="0" collapsed="false">
      <c r="A9" s="40" t="s">
        <v>572</v>
      </c>
      <c r="B9" s="29" t="s">
        <v>573</v>
      </c>
      <c r="D9" s="44" t="n">
        <f aca="false">MAX(0,D7-D8)</f>
        <v>234000000</v>
      </c>
      <c r="E9" s="19"/>
      <c r="F9" s="19" t="s">
        <v>574</v>
      </c>
    </row>
    <row r="11" customFormat="false" ht="15" hidden="false" customHeight="false" outlineLevel="0" collapsed="false">
      <c r="A11" s="7" t="s">
        <v>575</v>
      </c>
      <c r="B11" s="7"/>
      <c r="D11" s="7"/>
      <c r="E11" s="7"/>
      <c r="F11" s="7"/>
    </row>
    <row r="12" customFormat="false" ht="21.75" hidden="false" customHeight="true" outlineLevel="0" collapsed="false">
      <c r="A12" s="40" t="s">
        <v>98</v>
      </c>
      <c r="B12" s="29" t="s">
        <v>576</v>
      </c>
      <c r="D12" s="43" t="n">
        <f aca="false">(04_INGRESOS!$F$28)</f>
        <v>166000000</v>
      </c>
      <c r="E12" s="19" t="s">
        <v>577</v>
      </c>
      <c r="F12" s="19" t="s">
        <v>578</v>
      </c>
    </row>
    <row r="13" customFormat="false" ht="21.75" hidden="false" customHeight="true" outlineLevel="0" collapsed="false">
      <c r="A13" s="40" t="s">
        <v>254</v>
      </c>
      <c r="B13" s="29" t="s">
        <v>579</v>
      </c>
      <c r="D13" s="43" t="n">
        <f aca="false">(05_BENEFICIOS!$F$5+05_BENEFICIOS!$F$6+05_BENEFICIOS!$F$7+05_BENEFICIOS!$F$8)</f>
        <v>13500000</v>
      </c>
      <c r="E13" s="19" t="s">
        <v>580</v>
      </c>
      <c r="F13" s="19" t="s">
        <v>581</v>
      </c>
    </row>
    <row r="14" customFormat="false" ht="18" hidden="false" customHeight="true" outlineLevel="0" collapsed="false">
      <c r="A14" s="40" t="s">
        <v>582</v>
      </c>
      <c r="B14" s="29" t="s">
        <v>583</v>
      </c>
      <c r="D14" s="43" t="n">
        <f aca="false">MAX(0,D12-D13)</f>
        <v>152500000</v>
      </c>
      <c r="E14" s="19"/>
      <c r="F14" s="19" t="s">
        <v>584</v>
      </c>
    </row>
    <row r="15" customFormat="false" ht="21.75" hidden="false" customHeight="true" outlineLevel="0" collapsed="false">
      <c r="A15" s="40" t="s">
        <v>281</v>
      </c>
      <c r="B15" s="29" t="s">
        <v>585</v>
      </c>
      <c r="D15" s="43" t="n">
        <f aca="false">(MIN(05_BENEFICIOS!$F$13+05_BENEFICIOS!$F$14+05_BENEFICIOS!$F$15,MIN(05_BENEFICIOS!$F$13+05_BENEFICIOS!$F$14+05_BENEFICIOS!$F$15+05_BENEFICIOS!$F$24+05_BENEFICIOS!$F$25+05_BENEFICIOS!$F$26,0.3*04_INGRESOS!$F$27,16_PARAMETROS!$C$9*16_PARAMETROS!$C$5)))</f>
        <v>5000000</v>
      </c>
      <c r="E15" s="19" t="s">
        <v>586</v>
      </c>
      <c r="F15" s="19" t="s">
        <v>587</v>
      </c>
    </row>
    <row r="16" customFormat="false" ht="33" hidden="false" customHeight="true" outlineLevel="0" collapsed="false">
      <c r="A16" s="40" t="s">
        <v>289</v>
      </c>
      <c r="B16" s="29" t="s">
        <v>588</v>
      </c>
      <c r="D16" s="43" t="n">
        <f aca="false">(MIN(D14-D15,MAX(0,05_BENEFICIOS!$F$16+05_BENEFICIOS!$E$65+(04_INGRESOS!$F$46))+MIN(16_PARAMETROS!$C$8*16_PARAMETROS!$C$5,0.25*MAX(0,D14-D15-D18-D19-05_BENEFICIOS!$F$16-05_BENEFICIOS!$E$65-(04_INGRESOS!$F$44)))))</f>
        <v>30725000</v>
      </c>
      <c r="E16" s="19" t="s">
        <v>589</v>
      </c>
      <c r="F16" s="19" t="s">
        <v>590</v>
      </c>
    </row>
    <row r="17" customFormat="false" ht="18" hidden="false" customHeight="true" outlineLevel="0" collapsed="false">
      <c r="A17" s="40" t="s">
        <v>591</v>
      </c>
      <c r="B17" s="29" t="s">
        <v>592</v>
      </c>
      <c r="D17" s="43" t="n">
        <f aca="false">D15+D16</f>
        <v>35725000</v>
      </c>
      <c r="E17" s="19"/>
      <c r="F17" s="19"/>
    </row>
    <row r="18" customFormat="false" ht="18" hidden="false" customHeight="true" outlineLevel="0" collapsed="false">
      <c r="A18" s="40" t="s">
        <v>292</v>
      </c>
      <c r="B18" s="29" t="s">
        <v>593</v>
      </c>
      <c r="D18" s="43" t="n">
        <f aca="false">(MIN(D14,05_BENEFICIOS!$F$17))</f>
        <v>4000000</v>
      </c>
      <c r="E18" s="19" t="s">
        <v>594</v>
      </c>
      <c r="F18" s="19" t="s">
        <v>595</v>
      </c>
    </row>
    <row r="19" customFormat="false" ht="21.75" hidden="false" customHeight="true" outlineLevel="0" collapsed="false">
      <c r="A19" s="40" t="s">
        <v>296</v>
      </c>
      <c r="B19" s="29" t="s">
        <v>596</v>
      </c>
      <c r="D19" s="43" t="n">
        <f aca="false">(MIN(D14,05_BENEFICIOS!$F$18+05_BENEFICIOS!$F$19+05_BENEFICIOS!$F$20+05_BENEFICIOS!$F$21))</f>
        <v>20600000</v>
      </c>
      <c r="E19" s="19" t="s">
        <v>597</v>
      </c>
      <c r="F19" s="19" t="s">
        <v>598</v>
      </c>
    </row>
    <row r="20" customFormat="false" ht="18" hidden="false" customHeight="true" outlineLevel="0" collapsed="false">
      <c r="A20" s="40" t="s">
        <v>599</v>
      </c>
      <c r="B20" s="29" t="s">
        <v>600</v>
      </c>
      <c r="D20" s="43" t="n">
        <f aca="false">D18+D19</f>
        <v>24600000</v>
      </c>
      <c r="E20" s="19"/>
      <c r="F20" s="19"/>
    </row>
    <row r="21" customFormat="false" ht="21.75" hidden="false" customHeight="true" outlineLevel="0" collapsed="false">
      <c r="A21" s="40" t="s">
        <v>601</v>
      </c>
      <c r="B21" s="29" t="s">
        <v>602</v>
      </c>
      <c r="D21" s="44" t="n">
        <f aca="false">(MIN(D14,05_BENEFICIOS!$E$65+MIN(MAX(0,D14-05_BENEFICIOS!$E$65),MAX(0,D17+D20-05_BENEFICIOS!$E$65),D80)))</f>
        <v>60325000</v>
      </c>
      <c r="E21" s="19" t="s">
        <v>603</v>
      </c>
      <c r="F21" s="19" t="s">
        <v>604</v>
      </c>
    </row>
    <row r="22" customFormat="false" ht="18" hidden="false" customHeight="true" outlineLevel="0" collapsed="false">
      <c r="A22" s="40" t="s">
        <v>605</v>
      </c>
      <c r="B22" s="29" t="s">
        <v>606</v>
      </c>
      <c r="D22" s="43" t="n">
        <f aca="false">MAX(0,D14-D21)</f>
        <v>92175000</v>
      </c>
      <c r="E22" s="19"/>
      <c r="F22" s="19"/>
    </row>
    <row r="24" customFormat="false" ht="15" hidden="false" customHeight="false" outlineLevel="0" collapsed="false">
      <c r="A24" s="7" t="s">
        <v>607</v>
      </c>
      <c r="B24" s="7"/>
      <c r="D24" s="7"/>
      <c r="E24" s="7"/>
      <c r="F24" s="7"/>
    </row>
    <row r="25" customFormat="false" ht="18" hidden="false" customHeight="true" outlineLevel="0" collapsed="false">
      <c r="A25" s="40" t="s">
        <v>608</v>
      </c>
      <c r="B25" s="29" t="s">
        <v>609</v>
      </c>
      <c r="D25" s="43" t="n">
        <f aca="false">(04_INGRESOS!$F$29)</f>
        <v>0</v>
      </c>
      <c r="E25" s="19" t="s">
        <v>610</v>
      </c>
      <c r="F25" s="19" t="s">
        <v>611</v>
      </c>
    </row>
    <row r="26" customFormat="false" ht="18" hidden="false" customHeight="true" outlineLevel="0" collapsed="false">
      <c r="A26" s="40" t="s">
        <v>266</v>
      </c>
      <c r="B26" s="29" t="s">
        <v>265</v>
      </c>
      <c r="D26" s="43" t="n">
        <f aca="false">(MIN(05_BENEFICIOS!$F$9,04_INGRESOS!$F$29))</f>
        <v>0</v>
      </c>
      <c r="E26" s="19"/>
      <c r="F26" s="19"/>
    </row>
    <row r="27" customFormat="false" ht="18" hidden="false" customHeight="true" outlineLevel="0" collapsed="false">
      <c r="A27" s="40" t="s">
        <v>612</v>
      </c>
      <c r="B27" s="29" t="s">
        <v>613</v>
      </c>
      <c r="D27" s="43" t="n">
        <f aca="false">(04_INGRESOS!$F$39)</f>
        <v>0</v>
      </c>
      <c r="E27" s="19"/>
      <c r="F27" s="19" t="s">
        <v>614</v>
      </c>
    </row>
    <row r="28" customFormat="false" ht="18" hidden="false" customHeight="true" outlineLevel="0" collapsed="false">
      <c r="A28" s="40" t="s">
        <v>615</v>
      </c>
      <c r="B28" s="29" t="s">
        <v>616</v>
      </c>
      <c r="D28" s="43" t="n">
        <f aca="false">MAX(0,D25-D26-D27)</f>
        <v>0</v>
      </c>
      <c r="E28" s="19"/>
      <c r="F28" s="19"/>
    </row>
    <row r="29" customFormat="false" ht="18" hidden="false" customHeight="true" outlineLevel="0" collapsed="false">
      <c r="A29" s="40" t="s">
        <v>315</v>
      </c>
      <c r="B29" s="29" t="s">
        <v>617</v>
      </c>
      <c r="D29" s="43" t="n">
        <f aca="false">(MIN(05_BENEFICIOS!$F$24,MAX(0,MIN(05_BENEFICIOS!$F$13+05_BENEFICIOS!$F$14+05_BENEFICIOS!$F$15+05_BENEFICIOS!$F$24+05_BENEFICIOS!$F$25+05_BENEFICIOS!$F$26,0.3*04_INGRESOS!$F$27,16_PARAMETROS!$C$9*16_PARAMETROS!$C$5)-D15)))</f>
        <v>0</v>
      </c>
      <c r="E29" s="19" t="s">
        <v>618</v>
      </c>
      <c r="F29" s="19"/>
    </row>
    <row r="30" customFormat="false" ht="18" hidden="false" customHeight="true" outlineLevel="0" collapsed="false">
      <c r="A30" s="40" t="s">
        <v>364</v>
      </c>
      <c r="B30" s="29" t="s">
        <v>619</v>
      </c>
      <c r="D30" s="43" t="n">
        <f aca="false">(05_BENEFICIOS!$E$45)</f>
        <v>0</v>
      </c>
      <c r="E30" s="19"/>
      <c r="F30" s="19"/>
    </row>
    <row r="31" customFormat="false" ht="18" hidden="false" customHeight="true" outlineLevel="0" collapsed="false">
      <c r="A31" s="40" t="s">
        <v>620</v>
      </c>
      <c r="B31" s="29" t="s">
        <v>621</v>
      </c>
      <c r="D31" s="43" t="n">
        <f aca="false">D29+D30</f>
        <v>0</v>
      </c>
      <c r="E31" s="19"/>
      <c r="F31" s="19"/>
    </row>
    <row r="32" customFormat="false" ht="18" hidden="false" customHeight="true" outlineLevel="0" collapsed="false">
      <c r="A32" s="40" t="s">
        <v>368</v>
      </c>
      <c r="B32" s="29" t="s">
        <v>622</v>
      </c>
      <c r="D32" s="43" t="n">
        <f aca="false">(MIN(D28,05_BENEFICIOS!$E$46,MAX(0,16_PARAMETROS!$C$10*16_PARAMETROS!$C$5-D18)))</f>
        <v>0</v>
      </c>
      <c r="E32" s="19" t="s">
        <v>623</v>
      </c>
      <c r="F32" s="19"/>
    </row>
    <row r="33" customFormat="false" ht="18" hidden="false" customHeight="true" outlineLevel="0" collapsed="false">
      <c r="A33" s="40" t="s">
        <v>372</v>
      </c>
      <c r="B33" s="29" t="s">
        <v>624</v>
      </c>
      <c r="D33" s="43" t="n">
        <f aca="false">(MIN(D28,05_BENEFICIOS!$E$47))</f>
        <v>0</v>
      </c>
      <c r="E33" s="19"/>
      <c r="F33" s="19"/>
    </row>
    <row r="34" customFormat="false" ht="18" hidden="false" customHeight="true" outlineLevel="0" collapsed="false">
      <c r="A34" s="40" t="s">
        <v>625</v>
      </c>
      <c r="B34" s="29" t="s">
        <v>626</v>
      </c>
      <c r="D34" s="43" t="n">
        <f aca="false">D32+D33</f>
        <v>0</v>
      </c>
      <c r="E34" s="19"/>
      <c r="F34" s="19"/>
    </row>
    <row r="35" customFormat="false" ht="18" hidden="false" customHeight="true" outlineLevel="0" collapsed="false">
      <c r="A35" s="40" t="s">
        <v>627</v>
      </c>
      <c r="B35" s="29" t="s">
        <v>628</v>
      </c>
      <c r="D35" s="43" t="n">
        <f aca="false">(MIN(D28,D31+D34,MAX(0,D80-MAX(0,D21-05_BENEFICIOS!$E$65))))</f>
        <v>0</v>
      </c>
      <c r="E35" s="19" t="s">
        <v>629</v>
      </c>
      <c r="F35" s="19"/>
    </row>
    <row r="36" customFormat="false" ht="18" hidden="false" customHeight="true" outlineLevel="0" collapsed="false">
      <c r="A36" s="40" t="s">
        <v>630</v>
      </c>
      <c r="B36" s="29" t="s">
        <v>631</v>
      </c>
      <c r="D36" s="43" t="n">
        <f aca="false">MAX(0,D25-D26-D27-D35)</f>
        <v>0</v>
      </c>
      <c r="E36" s="19"/>
      <c r="F36" s="19"/>
    </row>
    <row r="37" customFormat="false" ht="18" hidden="false" customHeight="true" outlineLevel="0" collapsed="false">
      <c r="A37" s="40" t="s">
        <v>632</v>
      </c>
      <c r="B37" s="29" t="s">
        <v>633</v>
      </c>
      <c r="D37" s="43" t="n">
        <f aca="false">MAX(0,D26+D27-D25)</f>
        <v>0</v>
      </c>
      <c r="E37" s="19"/>
      <c r="F37" s="19"/>
    </row>
    <row r="38" customFormat="false" ht="18" hidden="false" customHeight="true" outlineLevel="0" collapsed="false">
      <c r="A38" s="40" t="s">
        <v>375</v>
      </c>
      <c r="B38" s="29" t="s">
        <v>634</v>
      </c>
      <c r="D38" s="43" t="n">
        <f aca="false">(MIN(D36,05_BENEFICIOS!$E$48))</f>
        <v>0</v>
      </c>
      <c r="E38" s="19"/>
      <c r="F38" s="19"/>
    </row>
    <row r="39" customFormat="false" ht="18" hidden="false" customHeight="true" outlineLevel="0" collapsed="false">
      <c r="A39" s="40" t="s">
        <v>635</v>
      </c>
      <c r="B39" s="29" t="s">
        <v>636</v>
      </c>
      <c r="D39" s="43" t="n">
        <f aca="false">MAX(0,D36-D38)</f>
        <v>0</v>
      </c>
      <c r="E39" s="19"/>
      <c r="F39" s="19"/>
    </row>
    <row r="41" customFormat="false" ht="15" hidden="false" customHeight="false" outlineLevel="0" collapsed="false">
      <c r="A41" s="7" t="s">
        <v>637</v>
      </c>
      <c r="B41" s="7"/>
      <c r="D41" s="7"/>
      <c r="E41" s="7"/>
      <c r="F41" s="7"/>
    </row>
    <row r="42" customFormat="false" ht="18" hidden="false" customHeight="true" outlineLevel="0" collapsed="false">
      <c r="A42" s="40" t="s">
        <v>185</v>
      </c>
      <c r="B42" s="29" t="s">
        <v>638</v>
      </c>
      <c r="D42" s="43" t="n">
        <f aca="false">(04_INGRESOS!$F$30+04_INGRESOS!$F$31)</f>
        <v>16000000</v>
      </c>
      <c r="E42" s="19" t="s">
        <v>639</v>
      </c>
      <c r="F42" s="19" t="s">
        <v>640</v>
      </c>
    </row>
    <row r="43" customFormat="false" ht="21.75" hidden="false" customHeight="true" outlineLevel="0" collapsed="false">
      <c r="A43" s="40" t="s">
        <v>268</v>
      </c>
      <c r="B43" s="29" t="s">
        <v>641</v>
      </c>
      <c r="D43" s="43" t="n">
        <f aca="false">(05_BENEFICIOS!$F$10)</f>
        <v>2217200</v>
      </c>
      <c r="E43" s="19" t="s">
        <v>642</v>
      </c>
      <c r="F43" s="19" t="s">
        <v>643</v>
      </c>
    </row>
    <row r="44" customFormat="false" ht="21.75" hidden="false" customHeight="true" outlineLevel="0" collapsed="false">
      <c r="A44" s="40" t="s">
        <v>644</v>
      </c>
      <c r="B44" s="29" t="s">
        <v>613</v>
      </c>
      <c r="D44" s="43" t="n">
        <f aca="false">(IF(03_PERFIL!$B$17="No",04_INGRESOS!$F$40*(1-16_PARAMETROS!$C$26),04_INGRESOS!$F$40))</f>
        <v>0</v>
      </c>
      <c r="E44" s="19" t="s">
        <v>645</v>
      </c>
      <c r="F44" s="19" t="s">
        <v>646</v>
      </c>
    </row>
    <row r="45" customFormat="false" ht="18" hidden="false" customHeight="true" outlineLevel="0" collapsed="false">
      <c r="A45" s="40" t="s">
        <v>647</v>
      </c>
      <c r="B45" s="29" t="s">
        <v>648</v>
      </c>
      <c r="D45" s="43" t="n">
        <f aca="false">MAX(0,D42-D43-D44)</f>
        <v>13782800</v>
      </c>
      <c r="E45" s="19"/>
      <c r="F45" s="19"/>
    </row>
    <row r="46" customFormat="false" ht="18" hidden="false" customHeight="true" outlineLevel="0" collapsed="false">
      <c r="A46" s="40" t="s">
        <v>379</v>
      </c>
      <c r="B46" s="29" t="s">
        <v>649</v>
      </c>
      <c r="D46" s="43" t="n">
        <f aca="false">(05_BENEFICIOS!$E$49)</f>
        <v>0</v>
      </c>
      <c r="E46" s="19" t="s">
        <v>650</v>
      </c>
      <c r="F46" s="19" t="s">
        <v>651</v>
      </c>
    </row>
    <row r="47" customFormat="false" ht="18" hidden="false" customHeight="true" outlineLevel="0" collapsed="false">
      <c r="A47" s="40" t="s">
        <v>317</v>
      </c>
      <c r="B47" s="29" t="s">
        <v>617</v>
      </c>
      <c r="D47" s="43" t="n">
        <f aca="false">(MIN(05_BENEFICIOS!$F$25,MAX(0,MIN(05_BENEFICIOS!$F$13+05_BENEFICIOS!$F$14+05_BENEFICIOS!$F$15+05_BENEFICIOS!$F$24+05_BENEFICIOS!$F$25+05_BENEFICIOS!$F$26,0.3*04_INGRESOS!$F$27,16_PARAMETROS!$C$9*16_PARAMETROS!$C$5)-D15-D29)))</f>
        <v>0</v>
      </c>
      <c r="E47" s="19"/>
      <c r="F47" s="19"/>
    </row>
    <row r="48" customFormat="false" ht="18" hidden="false" customHeight="true" outlineLevel="0" collapsed="false">
      <c r="A48" s="40" t="s">
        <v>383</v>
      </c>
      <c r="B48" s="29" t="s">
        <v>619</v>
      </c>
      <c r="D48" s="43" t="n">
        <f aca="false">(05_BENEFICIOS!$E$50)</f>
        <v>0</v>
      </c>
      <c r="E48" s="19"/>
      <c r="F48" s="19"/>
    </row>
    <row r="49" customFormat="false" ht="18" hidden="false" customHeight="true" outlineLevel="0" collapsed="false">
      <c r="A49" s="40" t="s">
        <v>652</v>
      </c>
      <c r="B49" s="29" t="s">
        <v>653</v>
      </c>
      <c r="D49" s="43" t="n">
        <f aca="false">D47+D48</f>
        <v>0</v>
      </c>
      <c r="E49" s="19"/>
      <c r="F49" s="19"/>
    </row>
    <row r="50" customFormat="false" ht="18" hidden="false" customHeight="true" outlineLevel="0" collapsed="false">
      <c r="A50" s="40" t="s">
        <v>386</v>
      </c>
      <c r="B50" s="29" t="s">
        <v>622</v>
      </c>
      <c r="D50" s="43" t="n">
        <f aca="false">(MIN(D45+D46,05_BENEFICIOS!$E$51,MAX(0,16_PARAMETROS!$C$10*16_PARAMETROS!$C$5-D18-D32)))</f>
        <v>0</v>
      </c>
      <c r="E50" s="19"/>
      <c r="F50" s="19"/>
    </row>
    <row r="51" customFormat="false" ht="18" hidden="false" customHeight="true" outlineLevel="0" collapsed="false">
      <c r="A51" s="40" t="s">
        <v>389</v>
      </c>
      <c r="B51" s="29" t="s">
        <v>624</v>
      </c>
      <c r="D51" s="43" t="n">
        <f aca="false">(MIN(D45+D46,05_BENEFICIOS!$E$52))</f>
        <v>0</v>
      </c>
      <c r="E51" s="19"/>
      <c r="F51" s="19"/>
    </row>
    <row r="52" customFormat="false" ht="18" hidden="false" customHeight="true" outlineLevel="0" collapsed="false">
      <c r="A52" s="40" t="s">
        <v>654</v>
      </c>
      <c r="B52" s="29" t="s">
        <v>655</v>
      </c>
      <c r="D52" s="43" t="n">
        <f aca="false">D50+D51</f>
        <v>0</v>
      </c>
      <c r="E52" s="19"/>
      <c r="F52" s="19"/>
    </row>
    <row r="53" customFormat="false" ht="18" hidden="false" customHeight="true" outlineLevel="0" collapsed="false">
      <c r="A53" s="40" t="s">
        <v>656</v>
      </c>
      <c r="B53" s="29" t="s">
        <v>628</v>
      </c>
      <c r="D53" s="43" t="n">
        <f aca="false">(MIN(D45+D46,D49+D52,MAX(0,D80-MAX(0,D21-05_BENEFICIOS!$E$65)-D35)))</f>
        <v>0</v>
      </c>
      <c r="E53" s="19" t="s">
        <v>657</v>
      </c>
      <c r="F53" s="19"/>
    </row>
    <row r="54" customFormat="false" ht="18" hidden="false" customHeight="true" outlineLevel="0" collapsed="false">
      <c r="A54" s="40" t="s">
        <v>658</v>
      </c>
      <c r="B54" s="29" t="s">
        <v>659</v>
      </c>
      <c r="D54" s="43" t="n">
        <f aca="false">MAX(0,D42+D46-D43-D44-D53)</f>
        <v>13782800</v>
      </c>
      <c r="E54" s="19"/>
      <c r="F54" s="19"/>
    </row>
    <row r="55" customFormat="false" ht="18" hidden="false" customHeight="true" outlineLevel="0" collapsed="false">
      <c r="A55" s="40" t="s">
        <v>660</v>
      </c>
      <c r="B55" s="29" t="s">
        <v>633</v>
      </c>
      <c r="D55" s="43" t="n">
        <f aca="false">MAX(0,D43+D44-D42-D46)</f>
        <v>0</v>
      </c>
      <c r="E55" s="19"/>
      <c r="F55" s="19"/>
    </row>
    <row r="56" customFormat="false" ht="18" hidden="false" customHeight="true" outlineLevel="0" collapsed="false">
      <c r="A56" s="40" t="s">
        <v>392</v>
      </c>
      <c r="B56" s="29" t="s">
        <v>634</v>
      </c>
      <c r="D56" s="43" t="n">
        <f aca="false">(MIN(D54,05_BENEFICIOS!$E$53))</f>
        <v>0</v>
      </c>
      <c r="E56" s="19"/>
      <c r="F56" s="19"/>
    </row>
    <row r="57" customFormat="false" ht="18" hidden="false" customHeight="true" outlineLevel="0" collapsed="false">
      <c r="A57" s="40" t="s">
        <v>661</v>
      </c>
      <c r="B57" s="29" t="s">
        <v>662</v>
      </c>
      <c r="D57" s="43" t="n">
        <f aca="false">MAX(0,D54-D56)</f>
        <v>13782800</v>
      </c>
      <c r="E57" s="19"/>
      <c r="F57" s="19"/>
    </row>
    <row r="59" customFormat="false" ht="15" hidden="false" customHeight="false" outlineLevel="0" collapsed="false">
      <c r="A59" s="7" t="s">
        <v>663</v>
      </c>
      <c r="B59" s="7"/>
      <c r="D59" s="7"/>
      <c r="E59" s="7"/>
      <c r="F59" s="7"/>
    </row>
    <row r="60" customFormat="false" ht="18" hidden="false" customHeight="true" outlineLevel="0" collapsed="false">
      <c r="A60" s="40" t="s">
        <v>190</v>
      </c>
      <c r="B60" s="29" t="s">
        <v>664</v>
      </c>
      <c r="D60" s="43" t="n">
        <f aca="false">(04_INGRESOS!$F$32)</f>
        <v>0</v>
      </c>
      <c r="E60" s="19"/>
      <c r="F60" s="19" t="s">
        <v>640</v>
      </c>
    </row>
    <row r="61" customFormat="false" ht="18" hidden="false" customHeight="true" outlineLevel="0" collapsed="false">
      <c r="A61" s="40" t="s">
        <v>395</v>
      </c>
      <c r="B61" s="29" t="s">
        <v>665</v>
      </c>
      <c r="D61" s="43" t="n">
        <f aca="false">(MIN(D60,05_BENEFICIOS!$E$54))</f>
        <v>0</v>
      </c>
      <c r="E61" s="19"/>
      <c r="F61" s="19"/>
    </row>
    <row r="62" customFormat="false" ht="18" hidden="false" customHeight="true" outlineLevel="0" collapsed="false">
      <c r="A62" s="40" t="s">
        <v>398</v>
      </c>
      <c r="B62" s="29" t="s">
        <v>579</v>
      </c>
      <c r="D62" s="43" t="n">
        <f aca="false">(MIN(MAX(0,D60-D61),05_BENEFICIOS!$E$55))</f>
        <v>0</v>
      </c>
      <c r="E62" s="19"/>
      <c r="F62" s="19"/>
    </row>
    <row r="63" customFormat="false" ht="18" hidden="false" customHeight="true" outlineLevel="0" collapsed="false">
      <c r="A63" s="40" t="s">
        <v>666</v>
      </c>
      <c r="B63" s="29" t="s">
        <v>613</v>
      </c>
      <c r="D63" s="43" t="n">
        <f aca="false">(04_INGRESOS!$F$41)</f>
        <v>0</v>
      </c>
      <c r="E63" s="19"/>
      <c r="F63" s="19"/>
    </row>
    <row r="64" customFormat="false" ht="18" hidden="false" customHeight="true" outlineLevel="0" collapsed="false">
      <c r="A64" s="40" t="s">
        <v>667</v>
      </c>
      <c r="B64" s="29" t="s">
        <v>668</v>
      </c>
      <c r="D64" s="43" t="n">
        <f aca="false">MAX(0,D60-D61-D62-D63)</f>
        <v>0</v>
      </c>
      <c r="E64" s="19"/>
      <c r="F64" s="19"/>
    </row>
    <row r="65" customFormat="false" ht="18" hidden="false" customHeight="true" outlineLevel="0" collapsed="false">
      <c r="A65" s="40" t="s">
        <v>401</v>
      </c>
      <c r="B65" s="29" t="s">
        <v>649</v>
      </c>
      <c r="D65" s="43" t="n">
        <f aca="false">(05_BENEFICIOS!$E$56)</f>
        <v>0</v>
      </c>
      <c r="E65" s="19"/>
      <c r="F65" s="19"/>
    </row>
    <row r="66" customFormat="false" ht="18" hidden="false" customHeight="true" outlineLevel="0" collapsed="false">
      <c r="A66" s="40" t="s">
        <v>319</v>
      </c>
      <c r="B66" s="29" t="s">
        <v>617</v>
      </c>
      <c r="D66" s="43" t="n">
        <f aca="false">(MIN(05_BENEFICIOS!$F$26,MAX(0,MIN(05_BENEFICIOS!$F$13+05_BENEFICIOS!$F$14+05_BENEFICIOS!$F$15+05_BENEFICIOS!$F$24+05_BENEFICIOS!$F$25+05_BENEFICIOS!$F$26,0.3*04_INGRESOS!$F$27,16_PARAMETROS!$C$9*16_PARAMETROS!$C$5)-D15-D29-D47)))</f>
        <v>0</v>
      </c>
      <c r="E66" s="19"/>
      <c r="F66" s="19"/>
    </row>
    <row r="67" customFormat="false" ht="18" hidden="false" customHeight="true" outlineLevel="0" collapsed="false">
      <c r="A67" s="40" t="s">
        <v>405</v>
      </c>
      <c r="B67" s="29" t="s">
        <v>619</v>
      </c>
      <c r="D67" s="43" t="n">
        <f aca="false">(05_BENEFICIOS!$E$57)</f>
        <v>0</v>
      </c>
      <c r="E67" s="19"/>
      <c r="F67" s="19"/>
    </row>
    <row r="68" customFormat="false" ht="18" hidden="false" customHeight="true" outlineLevel="0" collapsed="false">
      <c r="A68" s="40" t="s">
        <v>669</v>
      </c>
      <c r="B68" s="29" t="s">
        <v>670</v>
      </c>
      <c r="D68" s="43" t="n">
        <f aca="false">D66+D67</f>
        <v>0</v>
      </c>
      <c r="E68" s="19"/>
      <c r="F68" s="19"/>
    </row>
    <row r="69" customFormat="false" ht="18" hidden="false" customHeight="true" outlineLevel="0" collapsed="false">
      <c r="A69" s="40" t="s">
        <v>408</v>
      </c>
      <c r="B69" s="29" t="s">
        <v>622</v>
      </c>
      <c r="D69" s="43" t="n">
        <f aca="false">(MIN(D64+D65,05_BENEFICIOS!$E$58,MAX(0,16_PARAMETROS!$C$10*16_PARAMETROS!$C$5-D18-D32-D50)))</f>
        <v>0</v>
      </c>
      <c r="E69" s="19"/>
      <c r="F69" s="19"/>
    </row>
    <row r="70" customFormat="false" ht="18" hidden="false" customHeight="true" outlineLevel="0" collapsed="false">
      <c r="A70" s="40" t="s">
        <v>411</v>
      </c>
      <c r="B70" s="29" t="s">
        <v>624</v>
      </c>
      <c r="D70" s="43" t="n">
        <f aca="false">(MIN(D64+D65,05_BENEFICIOS!$E$59))</f>
        <v>0</v>
      </c>
      <c r="E70" s="19"/>
      <c r="F70" s="19"/>
    </row>
    <row r="71" customFormat="false" ht="18" hidden="false" customHeight="true" outlineLevel="0" collapsed="false">
      <c r="A71" s="40" t="s">
        <v>671</v>
      </c>
      <c r="B71" s="29" t="s">
        <v>672</v>
      </c>
      <c r="D71" s="43" t="n">
        <f aca="false">D69+D70</f>
        <v>0</v>
      </c>
      <c r="E71" s="19"/>
      <c r="F71" s="19"/>
    </row>
    <row r="72" customFormat="false" ht="18" hidden="false" customHeight="true" outlineLevel="0" collapsed="false">
      <c r="A72" s="40" t="s">
        <v>673</v>
      </c>
      <c r="B72" s="29" t="s">
        <v>628</v>
      </c>
      <c r="D72" s="43" t="n">
        <f aca="false">(MIN(D64+D65,D68+D71,MAX(0,D80-MAX(0,D21-05_BENEFICIOS!$E$65)-D35-D53)))</f>
        <v>0</v>
      </c>
      <c r="E72" s="19" t="s">
        <v>674</v>
      </c>
      <c r="F72" s="19"/>
    </row>
    <row r="73" customFormat="false" ht="18" hidden="false" customHeight="true" outlineLevel="0" collapsed="false">
      <c r="A73" s="40" t="s">
        <v>675</v>
      </c>
      <c r="B73" s="29" t="s">
        <v>676</v>
      </c>
      <c r="D73" s="43" t="n">
        <f aca="false">MAX(0,D60-D61-D62-D63+D65-D72)</f>
        <v>0</v>
      </c>
      <c r="E73" s="19"/>
      <c r="F73" s="19"/>
    </row>
    <row r="74" customFormat="false" ht="18" hidden="false" customHeight="true" outlineLevel="0" collapsed="false">
      <c r="A74" s="40" t="s">
        <v>677</v>
      </c>
      <c r="B74" s="29" t="s">
        <v>633</v>
      </c>
      <c r="D74" s="43" t="n">
        <f aca="false">MAX(0,D61+D62+D63-D60-D65)</f>
        <v>0</v>
      </c>
      <c r="E74" s="19"/>
      <c r="F74" s="19"/>
    </row>
    <row r="75" customFormat="false" ht="18" hidden="false" customHeight="true" outlineLevel="0" collapsed="false">
      <c r="A75" s="40" t="s">
        <v>414</v>
      </c>
      <c r="B75" s="29" t="s">
        <v>634</v>
      </c>
      <c r="D75" s="43" t="n">
        <f aca="false">(MIN(D73,05_BENEFICIOS!$E$60))</f>
        <v>0</v>
      </c>
      <c r="E75" s="19"/>
      <c r="F75" s="19"/>
    </row>
    <row r="76" customFormat="false" ht="18" hidden="false" customHeight="true" outlineLevel="0" collapsed="false">
      <c r="A76" s="40" t="s">
        <v>678</v>
      </c>
      <c r="B76" s="29" t="s">
        <v>679</v>
      </c>
      <c r="D76" s="43" t="n">
        <f aca="false">MAX(0,D73-D75)</f>
        <v>0</v>
      </c>
      <c r="E76" s="19"/>
      <c r="F76" s="19"/>
    </row>
    <row r="78" customFormat="false" ht="15" hidden="false" customHeight="false" outlineLevel="0" collapsed="false">
      <c r="A78" s="7" t="s">
        <v>680</v>
      </c>
      <c r="B78" s="7"/>
      <c r="D78" s="7"/>
      <c r="E78" s="7"/>
      <c r="F78" s="7"/>
    </row>
    <row r="79" customFormat="false" ht="15" hidden="false" customHeight="false" outlineLevel="0" collapsed="false">
      <c r="A79" s="19" t="s">
        <v>681</v>
      </c>
      <c r="B79" s="42" t="s">
        <v>682</v>
      </c>
      <c r="D79" s="27" t="n">
        <f aca="false">MAX(0,D12+D25+D42+D60+D46+D65-D13-D26-D43-D62)</f>
        <v>166282800</v>
      </c>
      <c r="E79" s="19" t="s">
        <v>683</v>
      </c>
      <c r="F79" s="19"/>
    </row>
    <row r="80" customFormat="false" ht="15" hidden="false" customHeight="false" outlineLevel="0" collapsed="false">
      <c r="A80" s="19" t="s">
        <v>681</v>
      </c>
      <c r="B80" s="42" t="s">
        <v>684</v>
      </c>
      <c r="D80" s="27" t="n">
        <f aca="false">ROUND(MIN(0.4*D79,16_PARAMETROS!$C$7*16_PARAMETROS!$C$5),-3)</f>
        <v>66513000</v>
      </c>
      <c r="E80" s="19" t="s">
        <v>685</v>
      </c>
      <c r="F80" s="19" t="s">
        <v>604</v>
      </c>
    </row>
    <row r="81" customFormat="false" ht="21.75" hidden="false" customHeight="true" outlineLevel="0" collapsed="false">
      <c r="A81" s="40" t="s">
        <v>686</v>
      </c>
      <c r="B81" s="29" t="s">
        <v>687</v>
      </c>
      <c r="D81" s="44" t="n">
        <f aca="false">MAX(0,D21+D22+D35+D39+D53+D57+D72+D76)</f>
        <v>166282800</v>
      </c>
      <c r="E81" s="19" t="s">
        <v>688</v>
      </c>
      <c r="F81" s="19" t="s">
        <v>689</v>
      </c>
    </row>
    <row r="82" customFormat="false" ht="21.75" hidden="false" customHeight="true" outlineLevel="0" collapsed="false">
      <c r="A82" s="40" t="s">
        <v>690</v>
      </c>
      <c r="B82" s="29" t="s">
        <v>691</v>
      </c>
      <c r="D82" s="44" t="n">
        <f aca="false">MIN(D81,D6+D21+D35+D53+D72+D141)</f>
        <v>64110528</v>
      </c>
      <c r="E82" s="19" t="s">
        <v>692</v>
      </c>
      <c r="F82" s="19" t="s">
        <v>693</v>
      </c>
    </row>
    <row r="83" customFormat="false" ht="18" hidden="false" customHeight="true" outlineLevel="0" collapsed="false">
      <c r="A83" s="40" t="s">
        <v>694</v>
      </c>
      <c r="B83" s="29" t="s">
        <v>695</v>
      </c>
      <c r="D83" s="43" t="n">
        <f aca="false">MAX(0,D81-D82)</f>
        <v>102172272</v>
      </c>
      <c r="E83" s="19"/>
      <c r="F83" s="19"/>
    </row>
    <row r="84" customFormat="false" ht="18" hidden="false" customHeight="true" outlineLevel="0" collapsed="false">
      <c r="A84" s="40" t="s">
        <v>321</v>
      </c>
      <c r="B84" s="29" t="s">
        <v>696</v>
      </c>
      <c r="D84" s="43" t="n">
        <f aca="false">(05_BENEFICIOS!$F$27)</f>
        <v>0</v>
      </c>
      <c r="E84" s="19" t="s">
        <v>697</v>
      </c>
      <c r="F84" s="19" t="s">
        <v>698</v>
      </c>
    </row>
    <row r="85" customFormat="false" ht="18" hidden="false" customHeight="true" outlineLevel="0" collapsed="false">
      <c r="A85" s="40" t="s">
        <v>324</v>
      </c>
      <c r="B85" s="29" t="s">
        <v>699</v>
      </c>
      <c r="D85" s="43" t="n">
        <f aca="false">(05_BENEFICIOS!$F$28)</f>
        <v>0</v>
      </c>
      <c r="E85" s="19"/>
      <c r="F85" s="19" t="s">
        <v>325</v>
      </c>
    </row>
    <row r="86" customFormat="false" ht="18" hidden="false" customHeight="true" outlineLevel="0" collapsed="false">
      <c r="A86" s="40" t="s">
        <v>327</v>
      </c>
      <c r="B86" s="29" t="s">
        <v>700</v>
      </c>
      <c r="D86" s="43" t="n">
        <f aca="false">(05_BENEFICIOS!$F$29)</f>
        <v>0</v>
      </c>
      <c r="E86" s="19"/>
      <c r="F86" s="19" t="s">
        <v>701</v>
      </c>
    </row>
    <row r="87" customFormat="false" ht="18" hidden="false" customHeight="true" outlineLevel="0" collapsed="false">
      <c r="A87" s="40" t="s">
        <v>702</v>
      </c>
      <c r="B87" s="29" t="s">
        <v>703</v>
      </c>
      <c r="D87" s="44" t="n">
        <f aca="false">MAX(0,D83-D84-D85+D86)</f>
        <v>102172272</v>
      </c>
      <c r="E87" s="19"/>
      <c r="F87" s="19"/>
    </row>
    <row r="88" customFormat="false" ht="18" hidden="false" customHeight="true" outlineLevel="0" collapsed="false">
      <c r="A88" s="40" t="s">
        <v>428</v>
      </c>
      <c r="B88" s="29" t="s">
        <v>704</v>
      </c>
      <c r="D88" s="43" t="n">
        <f aca="false">(MAX(0,D9*16_PARAMETROS!$C$25+05_BENEFICIOS!$E$64))</f>
        <v>0</v>
      </c>
      <c r="E88" s="19" t="s">
        <v>705</v>
      </c>
      <c r="F88" s="19" t="s">
        <v>706</v>
      </c>
    </row>
    <row r="90" customFormat="false" ht="15" hidden="false" customHeight="false" outlineLevel="0" collapsed="false">
      <c r="A90" s="7" t="s">
        <v>707</v>
      </c>
      <c r="B90" s="7"/>
      <c r="D90" s="7"/>
      <c r="E90" s="7"/>
      <c r="F90" s="7"/>
    </row>
    <row r="91" customFormat="false" ht="18" hidden="false" customHeight="true" outlineLevel="0" collapsed="false">
      <c r="A91" s="40" t="s">
        <v>209</v>
      </c>
      <c r="B91" s="29" t="s">
        <v>708</v>
      </c>
      <c r="D91" s="43" t="n">
        <f aca="false">(04_INGRESOS!$F$33)</f>
        <v>0</v>
      </c>
      <c r="E91" s="19"/>
      <c r="F91" s="19" t="s">
        <v>709</v>
      </c>
    </row>
    <row r="92" customFormat="false" ht="18" hidden="false" customHeight="true" outlineLevel="0" collapsed="false">
      <c r="A92" s="40" t="s">
        <v>330</v>
      </c>
      <c r="B92" s="29" t="s">
        <v>579</v>
      </c>
      <c r="D92" s="43" t="n">
        <f aca="false">(05_BENEFICIOS!$F$30)</f>
        <v>0</v>
      </c>
      <c r="E92" s="19"/>
      <c r="F92" s="19"/>
    </row>
    <row r="93" customFormat="false" ht="18" hidden="false" customHeight="true" outlineLevel="0" collapsed="false">
      <c r="A93" s="40" t="s">
        <v>710</v>
      </c>
      <c r="B93" s="29" t="s">
        <v>711</v>
      </c>
      <c r="D93" s="43" t="n">
        <f aca="false">MAX(0,D91-D92)</f>
        <v>0</v>
      </c>
      <c r="E93" s="19"/>
      <c r="F93" s="19"/>
    </row>
    <row r="94" customFormat="false" ht="18" hidden="false" customHeight="true" outlineLevel="0" collapsed="false">
      <c r="A94" s="40" t="s">
        <v>332</v>
      </c>
      <c r="B94" s="29" t="s">
        <v>712</v>
      </c>
      <c r="D94" s="43" t="n">
        <f aca="false">(MIN(D93,05_BENEFICIOS!$F$31*1000*16_PARAMETROS!$C$5))</f>
        <v>0</v>
      </c>
      <c r="E94" s="19" t="s">
        <v>713</v>
      </c>
      <c r="F94" s="19" t="s">
        <v>714</v>
      </c>
    </row>
    <row r="95" customFormat="false" ht="18" hidden="false" customHeight="true" outlineLevel="0" collapsed="false">
      <c r="A95" s="40" t="s">
        <v>715</v>
      </c>
      <c r="B95" s="29" t="s">
        <v>716</v>
      </c>
      <c r="D95" s="43" t="n">
        <f aca="false">MAX(0,D93-D94)</f>
        <v>0</v>
      </c>
      <c r="E95" s="19"/>
      <c r="F95" s="19"/>
    </row>
    <row r="97" customFormat="false" ht="15" hidden="false" customHeight="false" outlineLevel="0" collapsed="false">
      <c r="A97" s="7" t="s">
        <v>717</v>
      </c>
      <c r="B97" s="7"/>
      <c r="D97" s="7"/>
      <c r="E97" s="7"/>
      <c r="F97" s="7"/>
    </row>
    <row r="98" customFormat="false" ht="18" hidden="false" customHeight="true" outlineLevel="0" collapsed="false">
      <c r="A98" s="40" t="s">
        <v>335</v>
      </c>
      <c r="B98" s="29" t="s">
        <v>718</v>
      </c>
      <c r="D98" s="43" t="n">
        <f aca="false">(05_BENEFICIOS!$F$32)</f>
        <v>0</v>
      </c>
      <c r="E98" s="19" t="s">
        <v>719</v>
      </c>
      <c r="F98" s="19" t="s">
        <v>720</v>
      </c>
    </row>
    <row r="99" customFormat="false" ht="18" hidden="false" customHeight="true" outlineLevel="0" collapsed="false">
      <c r="A99" s="40" t="s">
        <v>417</v>
      </c>
      <c r="B99" s="29" t="s">
        <v>579</v>
      </c>
      <c r="D99" s="43" t="n">
        <f aca="false">(MIN(D98,05_BENEFICIOS!$E$61))</f>
        <v>0</v>
      </c>
      <c r="E99" s="19"/>
      <c r="F99" s="19"/>
    </row>
    <row r="100" customFormat="false" ht="18" hidden="false" customHeight="true" outlineLevel="0" collapsed="false">
      <c r="A100" s="40" t="s">
        <v>721</v>
      </c>
      <c r="B100" s="29" t="s">
        <v>722</v>
      </c>
      <c r="D100" s="43" t="n">
        <f aca="false">MAX(0,D98-D99)</f>
        <v>0</v>
      </c>
      <c r="E100" s="19"/>
      <c r="F100" s="19"/>
    </row>
    <row r="101" customFormat="false" ht="18" hidden="false" customHeight="true" outlineLevel="0" collapsed="false">
      <c r="A101" s="40" t="s">
        <v>213</v>
      </c>
      <c r="B101" s="29" t="s">
        <v>723</v>
      </c>
      <c r="D101" s="43" t="n">
        <f aca="false">(04_INGRESOS!$F$34)</f>
        <v>0</v>
      </c>
      <c r="E101" s="19" t="s">
        <v>724</v>
      </c>
      <c r="F101" s="19" t="s">
        <v>725</v>
      </c>
    </row>
    <row r="102" customFormat="false" ht="18" hidden="false" customHeight="true" outlineLevel="0" collapsed="false">
      <c r="A102" s="40" t="s">
        <v>216</v>
      </c>
      <c r="B102" s="29" t="s">
        <v>726</v>
      </c>
      <c r="D102" s="43" t="n">
        <f aca="false">(04_INGRESOS!$F$35)</f>
        <v>0</v>
      </c>
      <c r="E102" s="19" t="s">
        <v>727</v>
      </c>
      <c r="F102" s="19" t="s">
        <v>728</v>
      </c>
    </row>
    <row r="103" customFormat="false" ht="18" hidden="false" customHeight="true" outlineLevel="0" collapsed="false">
      <c r="A103" s="40" t="s">
        <v>420</v>
      </c>
      <c r="B103" s="29" t="s">
        <v>419</v>
      </c>
      <c r="D103" s="43" t="n">
        <f aca="false">(05_BENEFICIOS!$E$62)</f>
        <v>0</v>
      </c>
      <c r="E103" s="19" t="s">
        <v>697</v>
      </c>
      <c r="F103" s="19"/>
    </row>
    <row r="104" customFormat="false" ht="18" hidden="false" customHeight="true" outlineLevel="0" collapsed="false">
      <c r="A104" s="40" t="s">
        <v>424</v>
      </c>
      <c r="B104" s="29" t="s">
        <v>729</v>
      </c>
      <c r="D104" s="43" t="n">
        <f aca="false">(MIN(D103,05_BENEFICIOS!$E$63))</f>
        <v>0</v>
      </c>
      <c r="E104" s="19"/>
      <c r="F104" s="19"/>
    </row>
    <row r="105" customFormat="false" ht="18" hidden="false" customHeight="true" outlineLevel="0" collapsed="false">
      <c r="A105" s="40" t="s">
        <v>730</v>
      </c>
      <c r="B105" s="29" t="s">
        <v>731</v>
      </c>
      <c r="D105" s="44" t="n">
        <f aca="false">(MAX(D87,D88)+D95+D101+D102-D116)</f>
        <v>102172272</v>
      </c>
      <c r="E105" s="19" t="s">
        <v>732</v>
      </c>
      <c r="F105" s="19" t="s">
        <v>733</v>
      </c>
    </row>
    <row r="107" customFormat="false" ht="15" hidden="false" customHeight="false" outlineLevel="0" collapsed="false">
      <c r="A107" s="7" t="s">
        <v>734</v>
      </c>
      <c r="B107" s="7"/>
      <c r="D107" s="7"/>
      <c r="E107" s="7"/>
      <c r="F107" s="7"/>
    </row>
    <row r="108" customFormat="false" ht="18" hidden="false" customHeight="true" outlineLevel="0" collapsed="false">
      <c r="A108" s="40" t="s">
        <v>220</v>
      </c>
      <c r="B108" s="29" t="s">
        <v>735</v>
      </c>
      <c r="D108" s="43" t="n">
        <f aca="false">(04_INGRESOS!$F$36+04_INGRESOS!$F$37)</f>
        <v>0</v>
      </c>
      <c r="E108" s="19"/>
      <c r="F108" s="19" t="s">
        <v>736</v>
      </c>
    </row>
    <row r="109" customFormat="false" ht="18" hidden="false" customHeight="true" outlineLevel="0" collapsed="false">
      <c r="A109" s="40" t="s">
        <v>338</v>
      </c>
      <c r="B109" s="29" t="s">
        <v>737</v>
      </c>
      <c r="D109" s="43" t="n">
        <f aca="false">(05_BENEFICIOS!$F$33)</f>
        <v>0</v>
      </c>
      <c r="E109" s="19"/>
      <c r="F109" s="19"/>
    </row>
    <row r="110" customFormat="false" ht="18" hidden="false" customHeight="true" outlineLevel="0" collapsed="false">
      <c r="A110" s="40" t="s">
        <v>340</v>
      </c>
      <c r="B110" s="29" t="s">
        <v>339</v>
      </c>
      <c r="D110" s="43" t="n">
        <f aca="false">(MIN(MAX(0,D108-D109),05_BENEFICIOS!$F$34))</f>
        <v>0</v>
      </c>
      <c r="E110" s="19"/>
      <c r="F110" s="19" t="s">
        <v>341</v>
      </c>
    </row>
    <row r="111" customFormat="false" ht="18" hidden="false" customHeight="true" outlineLevel="0" collapsed="false">
      <c r="A111" s="40" t="s">
        <v>738</v>
      </c>
      <c r="B111" s="29" t="s">
        <v>739</v>
      </c>
      <c r="D111" s="43" t="n">
        <f aca="false">MAX(0,D108-D109-D110)</f>
        <v>0</v>
      </c>
      <c r="E111" s="19"/>
      <c r="F111" s="19"/>
    </row>
    <row r="113" customFormat="false" ht="15" hidden="false" customHeight="false" outlineLevel="0" collapsed="false">
      <c r="A113" s="7" t="s">
        <v>740</v>
      </c>
      <c r="B113" s="7"/>
      <c r="D113" s="7"/>
      <c r="E113" s="7"/>
      <c r="F113" s="7"/>
    </row>
    <row r="114" customFormat="false" ht="21.75" hidden="false" customHeight="true" outlineLevel="0" collapsed="false">
      <c r="A114" s="40" t="s">
        <v>741</v>
      </c>
      <c r="B114" s="29" t="s">
        <v>742</v>
      </c>
      <c r="D114" s="44" t="n">
        <f aca="false">IF(D87&gt;=D88,(TRUNC((TRUNC(D105/16_PARAMETROS!$C$5,2)-VLOOKUP(MAX(0,TRUNC(D105/16_PARAMETROS!$C$5,2)-0.000000001),16_PARAMETROS!$B$31:$E$37,1,TRUE()))*VLOOKUP(MAX(0,TRUNC(D105/16_PARAMETROS!$C$5,2)-0.000000001),16_PARAMETROS!$B$31:$E$37,3,TRUE())+0.000000001,2)+VLOOKUP(MAX(0,TRUNC(D105/16_PARAMETROS!$C$5,2)-0.000000001),16_PARAMETROS!$B$31:$E$37,4,TRUE()))*16_PARAMETROS!$C$5,0)</f>
        <v>10680391.53</v>
      </c>
      <c r="E114" s="19" t="s">
        <v>743</v>
      </c>
      <c r="F114" s="19" t="s">
        <v>744</v>
      </c>
    </row>
    <row r="115" customFormat="false" ht="18" hidden="false" customHeight="true" outlineLevel="0" collapsed="false">
      <c r="A115" s="40" t="s">
        <v>745</v>
      </c>
      <c r="B115" s="29" t="s">
        <v>746</v>
      </c>
      <c r="D115" s="43" t="n">
        <f aca="false">IF(D88&gt;D87,(TRUNC((TRUNC(D105/16_PARAMETROS!$C$5,2)-VLOOKUP(MAX(0,TRUNC(D105/16_PARAMETROS!$C$5,2)-0.000000001),16_PARAMETROS!$B$31:$E$37,1,TRUE()))*VLOOKUP(MAX(0,TRUNC(D105/16_PARAMETROS!$C$5,2)-0.000000001),16_PARAMETROS!$B$31:$E$37,3,TRUE())+0.000000001,2)+VLOOKUP(MAX(0,TRUNC(D105/16_PARAMETROS!$C$5,2)-0.000000001),16_PARAMETROS!$B$31:$E$37,4,TRUE()))*16_PARAMETROS!$C$5,0)</f>
        <v>0</v>
      </c>
      <c r="E115" s="19"/>
      <c r="F115" s="19"/>
    </row>
    <row r="116" customFormat="false" ht="18" hidden="false" customHeight="true" outlineLevel="0" collapsed="false">
      <c r="A116" s="40" t="s">
        <v>747</v>
      </c>
      <c r="B116" s="29" t="s">
        <v>748</v>
      </c>
      <c r="D116" s="43" t="n">
        <f aca="false">(D102*16_PARAMETROS!$C$24)</f>
        <v>0</v>
      </c>
      <c r="E116" s="19"/>
      <c r="F116" s="19" t="s">
        <v>749</v>
      </c>
    </row>
    <row r="117" customFormat="false" ht="18" hidden="false" customHeight="true" outlineLevel="0" collapsed="false">
      <c r="A117" s="40" t="s">
        <v>750</v>
      </c>
      <c r="B117" s="29" t="s">
        <v>751</v>
      </c>
      <c r="D117" s="43" t="n">
        <f aca="false">(TRUNC((TRUNC(D100/16_PARAMETROS!$C$5,2)-VLOOKUP(MAX(0,TRUNC(D100/16_PARAMETROS!$C$5,2)-0.000000001),16_PARAMETROS!$B$41:$E$44,1,TRUE()))*VLOOKUP(MAX(0,TRUNC(D100/16_PARAMETROS!$C$5,2)-0.000000001),16_PARAMETROS!$B$41:$E$44,3,TRUE())+0.000000001,2)+VLOOKUP(MAX(0,TRUNC(D100/16_PARAMETROS!$C$5,2)-0.000000001),16_PARAMETROS!$B$41:$E$44,4,TRUE()))*16_PARAMETROS!$C$5</f>
        <v>0</v>
      </c>
      <c r="E117" s="19" t="s">
        <v>752</v>
      </c>
      <c r="F117" s="19"/>
    </row>
    <row r="118" customFormat="false" ht="18" hidden="false" customHeight="true" outlineLevel="0" collapsed="false">
      <c r="A118" s="40" t="s">
        <v>753</v>
      </c>
      <c r="B118" s="29" t="s">
        <v>754</v>
      </c>
      <c r="D118" s="43" t="n">
        <f aca="false">(MAX(0,D103-D104)*0.35)</f>
        <v>0</v>
      </c>
      <c r="E118" s="19"/>
      <c r="F118" s="19"/>
    </row>
    <row r="119" customFormat="false" ht="18" hidden="false" customHeight="true" outlineLevel="0" collapsed="false">
      <c r="A119" s="40" t="s">
        <v>755</v>
      </c>
      <c r="B119" s="29" t="s">
        <v>756</v>
      </c>
      <c r="D119" s="44" t="n">
        <f aca="false">SUM(D114:D118)</f>
        <v>10680391.53</v>
      </c>
      <c r="E119" s="19"/>
      <c r="F119" s="19"/>
    </row>
    <row r="120" customFormat="false" ht="18" hidden="false" customHeight="true" outlineLevel="0" collapsed="false">
      <c r="A120" s="40" t="s">
        <v>345</v>
      </c>
      <c r="B120" s="29" t="s">
        <v>757</v>
      </c>
      <c r="D120" s="43" t="n">
        <f aca="false">(05_BENEFICIOS!$F$36)</f>
        <v>0</v>
      </c>
      <c r="E120" s="19"/>
      <c r="F120" s="19" t="s">
        <v>346</v>
      </c>
    </row>
    <row r="121" customFormat="false" ht="18" hidden="false" customHeight="true" outlineLevel="0" collapsed="false">
      <c r="A121" s="40" t="s">
        <v>348</v>
      </c>
      <c r="B121" s="29" t="s">
        <v>758</v>
      </c>
      <c r="D121" s="43" t="n">
        <f aca="false">(05_BENEFICIOS!$F$37)</f>
        <v>0</v>
      </c>
      <c r="E121" s="19"/>
      <c r="F121" s="19" t="s">
        <v>759</v>
      </c>
    </row>
    <row r="122" customFormat="false" ht="18" hidden="false" customHeight="true" outlineLevel="0" collapsed="false">
      <c r="A122" s="40" t="s">
        <v>352</v>
      </c>
      <c r="B122" s="29" t="s">
        <v>760</v>
      </c>
      <c r="D122" s="43" t="n">
        <f aca="false">(IF(TRUNC(MAX(0,D101+D102-D116)/16_PARAMETROS!$C$5,2)&lt;=1090,0,TRUNC((TRUNC(MAX(0,D101+D102-D116)/16_PARAMETROS!$C$5,2)-1090)*0.19+0.000000001,2)*16_PARAMETROS!$C$5)+05_BENEFICIOS!$F$38)</f>
        <v>0</v>
      </c>
      <c r="E122" s="19"/>
      <c r="F122" s="19" t="s">
        <v>761</v>
      </c>
    </row>
    <row r="123" customFormat="false" ht="18" hidden="false" customHeight="true" outlineLevel="0" collapsed="false">
      <c r="A123" s="40" t="s">
        <v>762</v>
      </c>
      <c r="B123" s="29" t="s">
        <v>763</v>
      </c>
      <c r="D123" s="43" t="n">
        <f aca="false">MIN(SUM(D120:D122),D119)</f>
        <v>0</v>
      </c>
      <c r="E123" s="19" t="s">
        <v>764</v>
      </c>
      <c r="F123" s="19" t="s">
        <v>765</v>
      </c>
    </row>
    <row r="124" customFormat="false" ht="18" hidden="false" customHeight="true" outlineLevel="0" collapsed="false">
      <c r="A124" s="40" t="s">
        <v>766</v>
      </c>
      <c r="B124" s="29" t="s">
        <v>767</v>
      </c>
      <c r="D124" s="44" t="n">
        <f aca="false">MAX(0,D119-D123)</f>
        <v>10680391.53</v>
      </c>
      <c r="E124" s="19"/>
      <c r="F124" s="19"/>
    </row>
    <row r="125" customFormat="false" ht="18" hidden="false" customHeight="true" outlineLevel="0" collapsed="false">
      <c r="A125" s="40" t="s">
        <v>768</v>
      </c>
      <c r="B125" s="29" t="s">
        <v>769</v>
      </c>
      <c r="D125" s="43" t="n">
        <f aca="false">((D111-MIN(D111,(04_INGRESOS!$F$37)))*16_PARAMETROS!$C$22+MIN(D111,(04_INGRESOS!$F$37))*16_PARAMETROS!$C$23)</f>
        <v>0</v>
      </c>
      <c r="E125" s="19" t="s">
        <v>770</v>
      </c>
      <c r="F125" s="19" t="s">
        <v>771</v>
      </c>
    </row>
    <row r="126" customFormat="false" ht="18" hidden="false" customHeight="true" outlineLevel="0" collapsed="false">
      <c r="A126" s="40" t="s">
        <v>343</v>
      </c>
      <c r="B126" s="29" t="s">
        <v>772</v>
      </c>
      <c r="D126" s="43" t="n">
        <f aca="false">(MIN(D125,05_BENEFICIOS!$F$35))</f>
        <v>0</v>
      </c>
      <c r="E126" s="19"/>
      <c r="F126" s="19"/>
    </row>
    <row r="127" customFormat="false" ht="18" hidden="false" customHeight="true" outlineLevel="0" collapsed="false">
      <c r="A127" s="40" t="s">
        <v>773</v>
      </c>
      <c r="B127" s="29" t="s">
        <v>774</v>
      </c>
      <c r="D127" s="44" t="n">
        <f aca="false">MAX(0,D124+D125-D126)</f>
        <v>10680391.53</v>
      </c>
      <c r="E127" s="19"/>
      <c r="F127" s="19"/>
    </row>
    <row r="129" customFormat="false" ht="15" hidden="false" customHeight="false" outlineLevel="0" collapsed="false">
      <c r="A129" s="7" t="s">
        <v>775</v>
      </c>
      <c r="B129" s="7"/>
      <c r="D129" s="7"/>
      <c r="E129" s="7"/>
      <c r="F129" s="7"/>
    </row>
    <row r="130" customFormat="false" ht="18" hidden="false" customHeight="true" outlineLevel="0" collapsed="false">
      <c r="A130" s="40" t="s">
        <v>776</v>
      </c>
      <c r="B130" s="29" t="s">
        <v>777</v>
      </c>
      <c r="D130" s="43" t="n">
        <f aca="false">(03_PERFIL!$B$21)</f>
        <v>0</v>
      </c>
      <c r="E130" s="19" t="s">
        <v>778</v>
      </c>
      <c r="F130" s="19" t="s">
        <v>779</v>
      </c>
    </row>
    <row r="131" customFormat="false" ht="18" hidden="false" customHeight="true" outlineLevel="0" collapsed="false">
      <c r="A131" s="40" t="s">
        <v>780</v>
      </c>
      <c r="B131" s="29" t="s">
        <v>781</v>
      </c>
      <c r="D131" s="43" t="n">
        <f aca="false">(03_PERFIL!$B$20)</f>
        <v>0</v>
      </c>
      <c r="E131" s="19" t="s">
        <v>782</v>
      </c>
      <c r="F131" s="19"/>
    </row>
    <row r="132" customFormat="false" ht="18" hidden="false" customHeight="true" outlineLevel="0" collapsed="false">
      <c r="A132" s="40" t="s">
        <v>783</v>
      </c>
      <c r="B132" s="29" t="s">
        <v>784</v>
      </c>
      <c r="D132" s="44" t="n">
        <f aca="false">(04_INGRESOS!$F$38)</f>
        <v>13280000</v>
      </c>
      <c r="E132" s="19"/>
      <c r="F132" s="19" t="s">
        <v>785</v>
      </c>
    </row>
    <row r="133" customFormat="false" ht="15" hidden="false" customHeight="false" outlineLevel="0" collapsed="false">
      <c r="A133" s="19" t="s">
        <v>681</v>
      </c>
      <c r="B133" s="42" t="s">
        <v>786</v>
      </c>
      <c r="D133" s="27" t="n">
        <f aca="false">MAX(0,ROUND(IF(03_PERFIL!$B$18=1,0.25,IF(03_PERFIL!$B$18=2,0.5,0.75))*D124-D132,-3))</f>
        <v>0</v>
      </c>
      <c r="E133" s="19"/>
      <c r="F133" s="19" t="s">
        <v>779</v>
      </c>
    </row>
    <row r="134" customFormat="false" ht="15" hidden="false" customHeight="false" outlineLevel="0" collapsed="false">
      <c r="A134" s="19" t="s">
        <v>681</v>
      </c>
      <c r="B134" s="42" t="s">
        <v>787</v>
      </c>
      <c r="D134" s="27" t="n">
        <f aca="false">IF(03_PERFIL!$B$18=1,D133,MAX(0,ROUND(IF(03_PERFIL!$B$18=2,0.5,0.75)*(D124+03_PERFIL!$B$19)/2-D132,-3)))</f>
        <v>0</v>
      </c>
      <c r="E134" s="19"/>
      <c r="F134" s="19" t="s">
        <v>779</v>
      </c>
    </row>
    <row r="135" customFormat="false" ht="18" hidden="false" customHeight="true" outlineLevel="0" collapsed="false">
      <c r="A135" s="40" t="s">
        <v>788</v>
      </c>
      <c r="B135" s="29" t="s">
        <v>789</v>
      </c>
      <c r="D135" s="43" t="n">
        <f aca="false">MIN(D133,D134)</f>
        <v>0</v>
      </c>
      <c r="E135" s="19"/>
      <c r="F135" s="19" t="s">
        <v>779</v>
      </c>
    </row>
    <row r="136" customFormat="false" ht="18" hidden="false" customHeight="true" outlineLevel="0" collapsed="false">
      <c r="A136" s="40" t="s">
        <v>790</v>
      </c>
      <c r="B136" s="29" t="s">
        <v>791</v>
      </c>
      <c r="D136" s="43" t="n">
        <f aca="false">MAX(0,D127+D135-D130-D131-D132)</f>
        <v>0</v>
      </c>
      <c r="E136" s="19"/>
      <c r="F136" s="19"/>
    </row>
    <row r="137" customFormat="false" ht="18" hidden="false" customHeight="true" outlineLevel="0" collapsed="false">
      <c r="A137" s="40" t="s">
        <v>355</v>
      </c>
      <c r="B137" s="29" t="s">
        <v>354</v>
      </c>
      <c r="D137" s="43" t="n">
        <f aca="false">(05_BENEFICIOS!$F$39)</f>
        <v>0</v>
      </c>
      <c r="E137" s="19" t="s">
        <v>792</v>
      </c>
      <c r="F137" s="19" t="s">
        <v>793</v>
      </c>
    </row>
    <row r="138" customFormat="false" ht="18" hidden="false" customHeight="true" outlineLevel="0" collapsed="false">
      <c r="A138" s="40" t="s">
        <v>794</v>
      </c>
      <c r="B138" s="29" t="s">
        <v>795</v>
      </c>
      <c r="D138" s="44" t="n">
        <f aca="false">MAX(0,D127+D135+D137-D130-D131-D132)</f>
        <v>0</v>
      </c>
      <c r="E138" s="19"/>
      <c r="F138" s="19"/>
    </row>
    <row r="139" customFormat="false" ht="18" hidden="false" customHeight="true" outlineLevel="0" collapsed="false">
      <c r="A139" s="40" t="s">
        <v>796</v>
      </c>
      <c r="B139" s="29" t="s">
        <v>797</v>
      </c>
      <c r="D139" s="44" t="n">
        <f aca="false">MAX(0,D130+D131+D132-D127-D135-D137)</f>
        <v>2599608.47</v>
      </c>
      <c r="E139" s="19" t="s">
        <v>798</v>
      </c>
      <c r="F139" s="19" t="s">
        <v>799</v>
      </c>
    </row>
    <row r="140" customFormat="false" ht="18" hidden="false" customHeight="true" outlineLevel="0" collapsed="false">
      <c r="A140" s="40" t="s">
        <v>800</v>
      </c>
      <c r="B140" s="29" t="s">
        <v>801</v>
      </c>
      <c r="D140" s="43" t="n">
        <f aca="false">06_DEPENDIENTES!$B$17</f>
        <v>1</v>
      </c>
      <c r="E140" s="19"/>
      <c r="F140" s="19"/>
    </row>
    <row r="141" customFormat="false" ht="21.75" hidden="false" customHeight="true" outlineLevel="0" collapsed="false">
      <c r="A141" s="40" t="s">
        <v>308</v>
      </c>
      <c r="B141" s="29" t="s">
        <v>802</v>
      </c>
      <c r="D141" s="44" t="n">
        <f aca="false">(MIN(MAX(0,D21+D22+D35+D39),05_BENEFICIOS!$F$22))</f>
        <v>3585528</v>
      </c>
      <c r="E141" s="19" t="s">
        <v>803</v>
      </c>
      <c r="F141" s="19" t="s">
        <v>804</v>
      </c>
    </row>
    <row r="142" customFormat="false" ht="18" hidden="false" customHeight="true" outlineLevel="0" collapsed="false">
      <c r="A142" s="40" t="s">
        <v>805</v>
      </c>
      <c r="B142" s="29" t="s">
        <v>806</v>
      </c>
      <c r="D142" s="13" t="str">
        <f aca="false">IF(D25=0,"",IF(D27/D25&gt;0.6,"X",""))</f>
        <v/>
      </c>
      <c r="E142" s="19"/>
      <c r="F142" s="19" t="s">
        <v>807</v>
      </c>
    </row>
    <row r="143" customFormat="false" ht="18" hidden="false" customHeight="true" outlineLevel="0" collapsed="false">
      <c r="A143" s="40" t="s">
        <v>359</v>
      </c>
      <c r="B143" s="29" t="s">
        <v>808</v>
      </c>
      <c r="D143" s="43" t="n">
        <f aca="false">(05_BENEFICIOS!$F$40)</f>
        <v>0</v>
      </c>
      <c r="E143" s="19"/>
      <c r="F143" s="19" t="s">
        <v>809</v>
      </c>
    </row>
    <row r="144" customFormat="false" ht="15" hidden="false" customHeight="false" outlineLevel="0" collapsed="false">
      <c r="A144" s="7" t="s">
        <v>810</v>
      </c>
      <c r="B144" s="7"/>
      <c r="D144" s="7"/>
      <c r="E144" s="7"/>
      <c r="F144" s="7"/>
    </row>
    <row r="145" customFormat="false" ht="18" hidden="false" customHeight="true" outlineLevel="0" collapsed="false">
      <c r="A145" s="40" t="s">
        <v>811</v>
      </c>
      <c r="B145" s="29" t="s">
        <v>812</v>
      </c>
      <c r="D145" s="44" t="n">
        <f aca="false">D138+D143</f>
        <v>0</v>
      </c>
      <c r="E145" s="19"/>
      <c r="F145" s="19"/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6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1" t="s">
        <v>815</v>
      </c>
      <c r="B1" s="1"/>
      <c r="C1" s="1"/>
    </row>
    <row r="2" customFormat="false" ht="24" hidden="false" customHeight="true" outlineLevel="0" collapsed="false">
      <c r="A2" s="15" t="s">
        <v>816</v>
      </c>
      <c r="B2" s="15"/>
      <c r="C2" s="19" t="str">
        <f aca="false">HYPERLINK("#'01_INICIO'!A1","← Volver a 01_INICIO")</f>
        <v>← Volver a 01_INICIO</v>
      </c>
    </row>
    <row r="5" customFormat="false" ht="24" hidden="false" customHeight="true" outlineLevel="0" collapsed="false">
      <c r="A5" s="20" t="s">
        <v>817</v>
      </c>
      <c r="B5" s="27" t="n">
        <f aca="false">09_FORMULARIO_210!D79</f>
        <v>166283000</v>
      </c>
      <c r="C5" s="19" t="s">
        <v>818</v>
      </c>
    </row>
    <row r="6" customFormat="false" ht="24" hidden="false" customHeight="true" outlineLevel="0" collapsed="false">
      <c r="A6" s="20" t="s">
        <v>819</v>
      </c>
      <c r="B6" s="41" t="n">
        <f aca="false">09_FORMULARIO_210!D80</f>
        <v>66513000</v>
      </c>
      <c r="C6" s="19" t="s">
        <v>820</v>
      </c>
    </row>
    <row r="7" customFormat="false" ht="24" hidden="false" customHeight="true" outlineLevel="0" collapsed="false">
      <c r="A7" s="20" t="s">
        <v>821</v>
      </c>
      <c r="B7" s="27" t="n">
        <f aca="false">09_FORMULARIO_210!D17+09_FORMULARIO_210!D20+09_FORMULARIO_210!D31+09_FORMULARIO_210!D34+09_FORMULARIO_210!D49+09_FORMULARIO_210!D52+09_FORMULARIO_210!D68+09_FORMULARIO_210!D71-05_BENEFICIOS!$E$65</f>
        <v>60325000</v>
      </c>
      <c r="C7" s="19" t="s">
        <v>822</v>
      </c>
    </row>
    <row r="8" customFormat="false" ht="24" hidden="false" customHeight="true" outlineLevel="0" collapsed="false">
      <c r="A8" s="20" t="s">
        <v>823</v>
      </c>
      <c r="B8" s="27" t="n">
        <f aca="false">09_FORMULARIO_210!D21+09_FORMULARIO_210!D35+09_FORMULARIO_210!D53+09_FORMULARIO_210!D72</f>
        <v>60325000</v>
      </c>
      <c r="C8" s="19" t="s">
        <v>824</v>
      </c>
    </row>
    <row r="9" customFormat="false" ht="24" hidden="false" customHeight="true" outlineLevel="0" collapsed="false">
      <c r="A9" s="3" t="s">
        <v>825</v>
      </c>
      <c r="B9" s="41" t="n">
        <f aca="false">MAX(0,B7-B8)</f>
        <v>0</v>
      </c>
      <c r="C9" s="19" t="s">
        <v>826</v>
      </c>
    </row>
    <row r="10" customFormat="false" ht="24" hidden="false" customHeight="true" outlineLevel="0" collapsed="false">
      <c r="A10" s="20" t="s">
        <v>827</v>
      </c>
      <c r="B10" s="27" t="n">
        <f aca="false">09_FORMULARIO_210!D6+09_FORMULARIO_210!D141+05_BENEFICIOS!$E$65</f>
        <v>3786000</v>
      </c>
      <c r="C10" s="19" t="s">
        <v>828</v>
      </c>
    </row>
    <row r="11" customFormat="false" ht="24" hidden="false" customHeight="true" outlineLevel="0" collapsed="false">
      <c r="A11" s="3" t="s">
        <v>829</v>
      </c>
      <c r="B11" s="45" t="n">
        <f aca="false">IF(B6=0,0,B8/B6)</f>
        <v>0.906965555605671</v>
      </c>
      <c r="C11" s="19" t="s">
        <v>830</v>
      </c>
    </row>
    <row r="13" customFormat="false" ht="25.5" hidden="false" customHeight="true" outlineLevel="0" collapsed="false">
      <c r="A13" s="11" t="str">
        <f aca="false">IF(B9&gt;0,"LECTURA ESTRATÉGICA: el límite le recortó $"&amp;TEXT(B9,"#,##0")&amp;". Más AFC, más medicina o el GMF ya NO mueven su impuesto. Solo suman: dependientes (72 UVT), 1% de facturas, RAIS voluntario (INCRNGO) y las exenciones especiales.","Sus beneficios caben completos dentro del límite.")</f>
        <v>Sus beneficios caben completos dentro del límite.</v>
      </c>
      <c r="B13" s="11"/>
      <c r="C13" s="11"/>
    </row>
    <row r="14" customFormat="false" ht="15" hidden="false" customHeight="false" outlineLevel="0" collapsed="false">
      <c r="A14" s="11"/>
      <c r="B14" s="11"/>
      <c r="C14" s="11"/>
    </row>
  </sheetData>
  <mergeCells count="2">
    <mergeCell ref="A2:B2"/>
    <mergeCell ref="A13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34"/>
    <col collapsed="false" customWidth="true" hidden="false" outlineLevel="0" max="5" min="5" style="0" width="44"/>
  </cols>
  <sheetData>
    <row r="1" customFormat="false" ht="17.35" hidden="false" customHeight="false" outlineLevel="0" collapsed="false">
      <c r="A1" s="1" t="s">
        <v>831</v>
      </c>
      <c r="B1" s="1"/>
      <c r="C1" s="1"/>
      <c r="D1" s="1"/>
      <c r="E1" s="1"/>
    </row>
    <row r="2" customFormat="false" ht="24" hidden="false" customHeight="true" outlineLevel="0" collapsed="false">
      <c r="A2" s="15" t="s">
        <v>832</v>
      </c>
      <c r="B2" s="15"/>
      <c r="C2" s="15"/>
      <c r="D2" s="15"/>
      <c r="E2" s="19" t="str">
        <f aca="false">HYPERLINK("#'01_INICIO'!A1","← Volver a 01_INICIO")</f>
        <v>← Volver a 01_INICIO</v>
      </c>
    </row>
    <row r="4" customFormat="false" ht="15" hidden="false" customHeight="false" outlineLevel="0" collapsed="false">
      <c r="A4" s="2" t="s">
        <v>444</v>
      </c>
      <c r="B4" s="2" t="s">
        <v>833</v>
      </c>
      <c r="C4" s="2" t="s">
        <v>834</v>
      </c>
      <c r="D4" s="2" t="s">
        <v>835</v>
      </c>
      <c r="E4" s="2" t="s">
        <v>836</v>
      </c>
    </row>
    <row r="5" customFormat="false" ht="24" hidden="false" customHeight="true" outlineLevel="0" collapsed="false">
      <c r="A5" s="29" t="s">
        <v>837</v>
      </c>
      <c r="B5" s="13" t="str">
        <f aca="false">IF(03_PERFIL!B16="Sí","OK","BLOQUEO")</f>
        <v>OK</v>
      </c>
      <c r="C5" s="19" t="s">
        <v>838</v>
      </c>
      <c r="D5" s="19" t="s">
        <v>839</v>
      </c>
      <c r="E5" s="19" t="s">
        <v>840</v>
      </c>
    </row>
    <row r="6" customFormat="false" ht="24" hidden="false" customHeight="true" outlineLevel="0" collapsed="false">
      <c r="A6" s="29" t="s">
        <v>841</v>
      </c>
      <c r="B6" s="13" t="str">
        <f aca="false">IF(AND(03_PERFIL!B11&lt;&gt;"",03_PERFIL!B13&lt;&gt;"",03_PERFIL!B14&lt;&gt;""),"OK","FALTA")</f>
        <v>OK</v>
      </c>
      <c r="C6" s="19" t="s">
        <v>838</v>
      </c>
      <c r="D6" s="19" t="s">
        <v>842</v>
      </c>
      <c r="E6" s="19" t="s">
        <v>843</v>
      </c>
    </row>
    <row r="7" customFormat="false" ht="24" hidden="false" customHeight="true" outlineLevel="0" collapsed="false">
      <c r="A7" s="29" t="s">
        <v>844</v>
      </c>
      <c r="B7" s="13" t="str">
        <f aca="false">IF(OR(09_FORMULARIO_210!D7&gt;16_PARAMETROS!$C$18*16_PARAMETROS!$C$5,04_INGRESOS!F27&gt;=16_PARAMETROS!$C$19*16_PARAMETROS!$C$5,95000000&gt;16_PARAMETROS!$C$19*16_PARAMETROS!$C$5),"SÍ — OBLIGADO","No por topes")</f>
        <v>SÍ — OBLIGADO</v>
      </c>
      <c r="C7" s="19" t="s">
        <v>845</v>
      </c>
      <c r="D7" s="19" t="s">
        <v>846</v>
      </c>
      <c r="E7" s="19" t="s">
        <v>847</v>
      </c>
    </row>
    <row r="8" customFormat="false" ht="24" hidden="false" customHeight="true" outlineLevel="0" collapsed="false">
      <c r="A8" s="29" t="s">
        <v>848</v>
      </c>
      <c r="B8" s="13" t="str">
        <f aca="false">IF(OR(09_FORMULARIO_210!D7&gt;16_PARAMETROS!$C$20*16_PARAMETROS!$C$5,04_INGRESOS!F27&gt;16_PARAMETROS!$C$20*16_PARAMETROS!$C$5),"SÍ","No")</f>
        <v>No</v>
      </c>
      <c r="C8" s="19" t="s">
        <v>845</v>
      </c>
      <c r="D8" s="19" t="s">
        <v>849</v>
      </c>
      <c r="E8" s="19"/>
    </row>
    <row r="9" customFormat="false" ht="24" hidden="false" customHeight="true" outlineLevel="0" collapsed="false">
      <c r="A9" s="29" t="s">
        <v>850</v>
      </c>
      <c r="B9" s="13" t="str">
        <f aca="false">IF(03_PERFIL!B25&lt;=03_PERFIL!B10,"OK","FUERA DE PLAZO")</f>
        <v>OK</v>
      </c>
      <c r="C9" s="19" t="s">
        <v>838</v>
      </c>
      <c r="D9" s="19" t="s">
        <v>851</v>
      </c>
      <c r="E9" s="19" t="s">
        <v>852</v>
      </c>
    </row>
    <row r="10" customFormat="false" ht="24" hidden="false" customHeight="true" outlineLevel="0" collapsed="false">
      <c r="A10" s="29" t="s">
        <v>853</v>
      </c>
      <c r="B10" s="13" t="str">
        <f aca="false">IF(09_FORMULARIO_210!D9-03_PERFIL!B24&lt;=09_FORMULARIO_210!D81+09_FORMULARIO_210!D82+09_FORMULARIO_210!D13+09_FORMULARIO_210!D43-09_FORMULARIO_210!D127,"JUSTIFICADA","NO JUSTIFICADA — revise")</f>
        <v>JUSTIFICADA</v>
      </c>
      <c r="C10" s="19" t="s">
        <v>838</v>
      </c>
      <c r="D10" s="19" t="s">
        <v>854</v>
      </c>
      <c r="E10" s="19" t="s">
        <v>855</v>
      </c>
    </row>
    <row r="11" customFormat="false" ht="24" hidden="false" customHeight="true" outlineLevel="0" collapsed="false">
      <c r="A11" s="29" t="s">
        <v>856</v>
      </c>
      <c r="B11" s="13" t="str">
        <f aca="false">IF(AND(09_FORMULARIO_210!D138&gt;0,09_FORMULARIO_210!D139&gt;0),"ERROR","OK")</f>
        <v>OK</v>
      </c>
      <c r="C11" s="19" t="s">
        <v>838</v>
      </c>
      <c r="D11" s="19" t="s">
        <v>511</v>
      </c>
      <c r="E11" s="19"/>
    </row>
    <row r="12" customFormat="false" ht="24" hidden="false" customHeight="true" outlineLevel="0" collapsed="false">
      <c r="A12" s="29" t="s">
        <v>857</v>
      </c>
      <c r="B12" s="13" t="str">
        <f aca="false">IF(SUM(05_BENEFICIOS!E49,05_BENEFICIOS!E56,05_BENEFICIOS!E62)+05_BENEFICIOS!F27+05_BENEFICIOS!F28+05_BENEFICIOS!F29=0,"OK","REQUIERE CONTADOR")</f>
        <v>OK</v>
      </c>
      <c r="C12" s="19" t="s">
        <v>838</v>
      </c>
      <c r="D12" s="19" t="s">
        <v>858</v>
      </c>
      <c r="E12" s="19"/>
    </row>
    <row r="13" customFormat="false" ht="24" hidden="false" customHeight="true" outlineLevel="0" collapsed="false">
      <c r="A13" s="29" t="s">
        <v>859</v>
      </c>
      <c r="B13" s="13" t="str">
        <f aca="false">IF(13_QA!B6="","PENDIENTE EJECUTAR NOTEBOOK",13_QA!B6)</f>
        <v>PENDIENTE — ejecute scripts/validar.py</v>
      </c>
      <c r="C13" s="19" t="s">
        <v>838</v>
      </c>
      <c r="D13" s="19" t="s">
        <v>860</v>
      </c>
      <c r="E13" s="19" t="s">
        <v>861</v>
      </c>
    </row>
    <row r="14" customFormat="false" ht="24" hidden="false" customHeight="true" outlineLevel="0" collapsed="false">
      <c r="A14" s="29" t="s">
        <v>862</v>
      </c>
      <c r="B14" s="13" t="str">
        <f aca="false">IF(13_QA!B7=0,"OK","FALLA EN "&amp;13_QA!B7&amp;" CASOS")</f>
        <v>OK</v>
      </c>
      <c r="C14" s="19" t="s">
        <v>838</v>
      </c>
      <c r="D14" s="19" t="s">
        <v>863</v>
      </c>
      <c r="E14" s="19" t="s">
        <v>864</v>
      </c>
    </row>
    <row r="15" customFormat="false" ht="24" hidden="false" customHeight="true" outlineLevel="0" collapsed="false">
      <c r="A15" s="29" t="s">
        <v>865</v>
      </c>
      <c r="B15" s="13" t="str">
        <f aca="false">IF(04_INGRESOS!J8="Confirmado","OK","REVISAR")</f>
        <v>REVISAR</v>
      </c>
      <c r="C15" s="19" t="s">
        <v>866</v>
      </c>
      <c r="D15" s="19" t="s">
        <v>867</v>
      </c>
      <c r="E15" s="19" t="s">
        <v>868</v>
      </c>
    </row>
    <row r="16" customFormat="false" ht="24" hidden="false" customHeight="true" outlineLevel="0" collapsed="false">
      <c r="A16" s="29" t="s">
        <v>869</v>
      </c>
      <c r="B16" s="13" t="str">
        <f aca="false">IF(04_INGRESOS!J15="Confirmado","OK","PROVISIONAL — complete el soporte")</f>
        <v>PROVISIONAL — complete el soporte</v>
      </c>
      <c r="C16" s="19" t="s">
        <v>870</v>
      </c>
      <c r="D16" s="19" t="s">
        <v>871</v>
      </c>
      <c r="E16" s="19" t="s">
        <v>872</v>
      </c>
    </row>
    <row r="17" customFormat="false" ht="24" hidden="false" customHeight="true" outlineLevel="0" collapsed="false">
      <c r="A17" s="29" t="s">
        <v>873</v>
      </c>
      <c r="B17" s="13" t="str">
        <f aca="false">IF(ABS(04_INGRESOS!F38-13280000)&lt;=1,"OK","REVISAR")</f>
        <v>OK</v>
      </c>
      <c r="C17" s="19" t="s">
        <v>866</v>
      </c>
      <c r="D17" s="19" t="s">
        <v>874</v>
      </c>
      <c r="E17" s="19"/>
    </row>
    <row r="18" customFormat="false" ht="24" hidden="false" customHeight="true" outlineLevel="0" collapsed="false">
      <c r="A18" s="29" t="s">
        <v>875</v>
      </c>
      <c r="B18" s="13" t="str">
        <f aca="false">IF(ABS(04_INGRESOS!F28-166000000)&lt;=1,"OK","REVISAR")</f>
        <v>OK</v>
      </c>
      <c r="C18" s="19" t="s">
        <v>866</v>
      </c>
      <c r="D18" s="19" t="s">
        <v>876</v>
      </c>
      <c r="E18" s="19"/>
    </row>
    <row r="20" customFormat="false" ht="15" hidden="false" customHeight="false" outlineLevel="0" collapsed="false">
      <c r="A20" s="7" t="s">
        <v>877</v>
      </c>
      <c r="B20" s="7"/>
      <c r="C20" s="7"/>
      <c r="D20" s="7"/>
      <c r="E20" s="7"/>
    </row>
    <row r="21" customFormat="false" ht="22.35" hidden="false" customHeight="false" outlineLevel="0" collapsed="false">
      <c r="A21" s="20" t="s">
        <v>878</v>
      </c>
      <c r="B21" s="33" t="n">
        <f aca="false">SUMPRODUCT(--(ISNUMBER(SEARCH("BLOQUEO",B5:B18))))+SUMPRODUCT(--(ISNUMBER(SEARCH("FALTA",B5:B18))))+SUMPRODUCT(--(ISNUMBER(SEARCH("ERROR",B5:B18))))+SUMPRODUCT(--(ISNUMBER(SEARCH("FUERA",B5:B18))))+SUMPRODUCT(--(ISNUMBER(SEARCH("INVESTIGAR",B5:B18))))</f>
        <v>0</v>
      </c>
    </row>
    <row r="22" customFormat="false" ht="22.35" hidden="false" customHeight="false" outlineLevel="0" collapsed="false">
      <c r="A22" s="20" t="s">
        <v>879</v>
      </c>
      <c r="B22" s="33" t="n">
        <f aca="false">SUMPRODUCT(--(ISNUMBER(SEARCH("REVISAR",B5:B18))))+SUMPRODUCT(--(ISNUMBER(SEARCH("ESTIMADO",B5:B18))))+SUMPRODUCT(--(ISNUMBER(SEARCH("PENDIENTE",B5:B18))))+SUMPRODUCT(--(ISNUMBER(SEARCH("VERIFICAR",B5:B18))))+SUMPRODUCT(--(ISNUMBER(SEARCH("DECISIÓN",B5:B18))))+SUMPRODUCT(--(ISNUMBER(SEARCH("DISMINUCIÓN",B5:B18))))</f>
        <v>2</v>
      </c>
    </row>
    <row r="23" customFormat="false" ht="15" hidden="false" customHeight="false" outlineLevel="0" collapsed="false">
      <c r="A23" s="3" t="s">
        <v>880</v>
      </c>
      <c r="B23" s="46" t="str">
        <f aca="false">IF(B21&gt;0,"NO LISTO PARA PRESENTAR",IF(B22&gt;0,"CALCULADO — CIERRE PENDIENTES","LISTO PARA REVISIÓN FINAL"))</f>
        <v>CALCULADO — CIERRE PENDIENTES</v>
      </c>
    </row>
    <row r="25" customFormat="false" ht="22.35" hidden="false" customHeight="false" outlineLevel="0" collapsed="false">
      <c r="A25" s="20" t="s">
        <v>881</v>
      </c>
      <c r="B25" s="23" t="n">
        <v>0</v>
      </c>
    </row>
    <row r="26" customFormat="false" ht="22.35" hidden="false" customHeight="false" outlineLevel="0" collapsed="false">
      <c r="A26" s="20" t="s">
        <v>882</v>
      </c>
      <c r="B26" s="27" t="n">
        <f aca="false">IF(B25=0,0,MAX(MIN(0.05*B25,1)*09_FORMULARIO_210!D127,ROUND(16_PARAMETROS!$C$17*16_PARAMETROS!$C$6,-3)))</f>
        <v>0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4" min="3" style="0" width="18"/>
    <col collapsed="false" customWidth="true" hidden="false" outlineLevel="0" max="5" min="5" style="0" width="12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883</v>
      </c>
      <c r="B1" s="1"/>
      <c r="C1" s="1"/>
      <c r="D1" s="1"/>
      <c r="E1" s="1"/>
      <c r="F1" s="1"/>
    </row>
    <row r="2" customFormat="false" ht="15" hidden="false" customHeight="false" outlineLevel="0" collapsed="false">
      <c r="F2" s="19" t="str">
        <f aca="false">HYPERLINK("#'01_INICIO'!A1","← Volver a 01_INICIO")</f>
        <v>← Volver a 01_INICIO</v>
      </c>
    </row>
    <row r="3" customFormat="false" ht="15" hidden="false" customHeight="true" outlineLevel="0" collapsed="false">
      <c r="A3" s="47" t="s">
        <v>884</v>
      </c>
      <c r="B3" s="47"/>
      <c r="C3" s="47"/>
      <c r="D3" s="47"/>
      <c r="E3" s="47"/>
      <c r="F3" s="47"/>
    </row>
    <row r="4" customFormat="false" ht="15" hidden="false" customHeight="false" outlineLevel="0" collapsed="false">
      <c r="A4" s="20" t="s">
        <v>885</v>
      </c>
      <c r="B4" s="16" t="s">
        <v>886</v>
      </c>
    </row>
    <row r="5" customFormat="false" ht="15" hidden="false" customHeight="true" outlineLevel="0" collapsed="false">
      <c r="A5" s="15" t="s">
        <v>887</v>
      </c>
      <c r="B5" s="15"/>
      <c r="C5" s="15"/>
      <c r="D5" s="15"/>
      <c r="E5" s="15"/>
      <c r="F5" s="15"/>
    </row>
    <row r="6" customFormat="false" ht="15" hidden="false" customHeight="false" outlineLevel="0" collapsed="false">
      <c r="A6" s="20" t="s">
        <v>888</v>
      </c>
      <c r="B6" s="13" t="str">
        <f aca="false">B4</f>
        <v>PENDIENTE — ejecute scripts/validar.py</v>
      </c>
    </row>
    <row r="7" customFormat="false" ht="15" hidden="false" customHeight="false" outlineLevel="0" collapsed="false">
      <c r="A7" s="20" t="s">
        <v>889</v>
      </c>
      <c r="B7" s="33" t="n">
        <f aca="false">COUNTIF(E12:E34,"FALLA")</f>
        <v>0</v>
      </c>
    </row>
    <row r="9" customFormat="false" ht="15" hidden="false" customHeight="true" outlineLevel="0" collapsed="false">
      <c r="A9" s="47" t="s">
        <v>890</v>
      </c>
      <c r="B9" s="47"/>
      <c r="C9" s="47"/>
      <c r="D9" s="47"/>
      <c r="E9" s="47"/>
      <c r="F9" s="47"/>
    </row>
    <row r="10" customFormat="false" ht="15" hidden="false" customHeight="true" outlineLevel="0" collapsed="false">
      <c r="A10" s="15" t="s">
        <v>891</v>
      </c>
      <c r="B10" s="15"/>
      <c r="C10" s="15"/>
      <c r="D10" s="15"/>
      <c r="E10" s="15"/>
      <c r="F10" s="15"/>
    </row>
    <row r="11" customFormat="false" ht="15" hidden="false" customHeight="false" outlineLevel="0" collapsed="false">
      <c r="A11" s="2" t="s">
        <v>892</v>
      </c>
      <c r="B11" s="2" t="s">
        <v>893</v>
      </c>
      <c r="C11" s="2" t="s">
        <v>894</v>
      </c>
      <c r="D11" s="2" t="s">
        <v>895</v>
      </c>
      <c r="E11" s="2" t="s">
        <v>896</v>
      </c>
    </row>
    <row r="12" customFormat="false" ht="15" hidden="false" customHeight="false" outlineLevel="0" collapsed="false">
      <c r="A12" s="19" t="s">
        <v>897</v>
      </c>
      <c r="B12" s="48" t="n">
        <v>54280412.01</v>
      </c>
      <c r="C12" s="27" t="n">
        <f aca="false">ROUND((TRUNC((TRUNC(B12/16_PARAMETROS!$C$5,2)-VLOOKUP(MAX(0,TRUNC(B12/16_PARAMETROS!$C$5,2)-0.000000001),16_PARAMETROS!$B$31:$E$37,1,TRUE()))*VLOOKUP(MAX(0,TRUNC(B12/16_PARAMETROS!$C$5,2)-0.000000001),16_PARAMETROS!$B$31:$E$37,3,TRUE())+0.000000001,2)+VLOOKUP(MAX(0,TRUNC(B12/16_PARAMETROS!$C$5,2)-0.000000001),16_PARAMETROS!$B$31:$E$37,4,TRUE()))*16_PARAMETROS!$C$5,-3)</f>
        <v>0</v>
      </c>
      <c r="D12" s="49" t="n">
        <v>0</v>
      </c>
      <c r="E12" s="13" t="str">
        <f aca="false">IF(C12=D12,"OK","FALLA")</f>
        <v>OK</v>
      </c>
    </row>
    <row r="13" customFormat="false" ht="15" hidden="false" customHeight="false" outlineLevel="0" collapsed="false">
      <c r="A13" s="19" t="s">
        <v>898</v>
      </c>
      <c r="B13" s="48" t="n">
        <v>54280910</v>
      </c>
      <c r="C13" s="27" t="n">
        <f aca="false">ROUND((TRUNC((TRUNC(B13/16_PARAMETROS!$C$5,2)-VLOOKUP(MAX(0,TRUNC(B13/16_PARAMETROS!$C$5,2)-0.000000001),16_PARAMETROS!$B$31:$E$37,1,TRUE()))*VLOOKUP(MAX(0,TRUNC(B13/16_PARAMETROS!$C$5,2)-0.000000001),16_PARAMETROS!$B$31:$E$37,3,TRUE())+0.000000001,2)+VLOOKUP(MAX(0,TRUNC(B13/16_PARAMETROS!$C$5,2)-0.000000001),16_PARAMETROS!$B$31:$E$37,4,TRUE()))*16_PARAMETROS!$C$5,-3)</f>
        <v>0</v>
      </c>
      <c r="D13" s="49" t="n">
        <v>0</v>
      </c>
      <c r="E13" s="13" t="str">
        <f aca="false">IF(C13=D13,"OK","FALLA")</f>
        <v>OK</v>
      </c>
    </row>
    <row r="14" customFormat="false" ht="15" hidden="false" customHeight="false" outlineLevel="0" collapsed="false">
      <c r="A14" s="19" t="s">
        <v>899</v>
      </c>
      <c r="B14" s="48" t="n">
        <v>54281407.99</v>
      </c>
      <c r="C14" s="27" t="n">
        <f aca="false">ROUND((TRUNC((TRUNC(B14/16_PARAMETROS!$C$5,2)-VLOOKUP(MAX(0,TRUNC(B14/16_PARAMETROS!$C$5,2)-0.000000001),16_PARAMETROS!$B$31:$E$37,1,TRUE()))*VLOOKUP(MAX(0,TRUNC(B14/16_PARAMETROS!$C$5,2)-0.000000001),16_PARAMETROS!$B$31:$E$37,3,TRUE())+0.000000001,2)+VLOOKUP(MAX(0,TRUNC(B14/16_PARAMETROS!$C$5,2)-0.000000001),16_PARAMETROS!$B$31:$E$37,4,TRUE()))*16_PARAMETROS!$C$5,-3)</f>
        <v>0</v>
      </c>
      <c r="D14" s="49" t="n">
        <v>0</v>
      </c>
      <c r="E14" s="13" t="str">
        <f aca="false">IF(C14=D14,"OK","FALLA")</f>
        <v>OK</v>
      </c>
    </row>
    <row r="15" customFormat="false" ht="15" hidden="false" customHeight="false" outlineLevel="0" collapsed="false">
      <c r="A15" s="19" t="s">
        <v>900</v>
      </c>
      <c r="B15" s="48" t="n">
        <v>84657802.01</v>
      </c>
      <c r="C15" s="27" t="n">
        <f aca="false">ROUND((TRUNC((TRUNC(B15/16_PARAMETROS!$C$5,2)-VLOOKUP(MAX(0,TRUNC(B15/16_PARAMETROS!$C$5,2)-0.000000001),16_PARAMETROS!$B$31:$E$37,1,TRUE()))*VLOOKUP(MAX(0,TRUNC(B15/16_PARAMETROS!$C$5,2)-0.000000001),16_PARAMETROS!$B$31:$E$37,3,TRUE())+0.000000001,2)+VLOOKUP(MAX(0,TRUNC(B15/16_PARAMETROS!$C$5,2)-0.000000001),16_PARAMETROS!$B$31:$E$37,4,TRUE()))*16_PARAMETROS!$C$5,-3)</f>
        <v>5771000</v>
      </c>
      <c r="D15" s="49" t="n">
        <v>5771000</v>
      </c>
      <c r="E15" s="13" t="str">
        <f aca="false">IF(C15=D15,"OK","FALLA")</f>
        <v>OK</v>
      </c>
    </row>
    <row r="16" customFormat="false" ht="15" hidden="false" customHeight="false" outlineLevel="0" collapsed="false">
      <c r="A16" s="19" t="s">
        <v>901</v>
      </c>
      <c r="B16" s="48" t="n">
        <v>84658300</v>
      </c>
      <c r="C16" s="27" t="n">
        <f aca="false">ROUND((TRUNC((TRUNC(B16/16_PARAMETROS!$C$5,2)-VLOOKUP(MAX(0,TRUNC(B16/16_PARAMETROS!$C$5,2)-0.000000001),16_PARAMETROS!$B$31:$E$37,1,TRUE()))*VLOOKUP(MAX(0,TRUNC(B16/16_PARAMETROS!$C$5,2)-0.000000001),16_PARAMETROS!$B$31:$E$37,3,TRUE())+0.000000001,2)+VLOOKUP(MAX(0,TRUNC(B16/16_PARAMETROS!$C$5,2)-0.000000001),16_PARAMETROS!$B$31:$E$37,4,TRUE()))*16_PARAMETROS!$C$5,-3)</f>
        <v>5772000</v>
      </c>
      <c r="D16" s="49" t="n">
        <v>5772000</v>
      </c>
      <c r="E16" s="13" t="str">
        <f aca="false">IF(C16=D16,"OK","FALLA")</f>
        <v>OK</v>
      </c>
    </row>
    <row r="17" customFormat="false" ht="15" hidden="false" customHeight="false" outlineLevel="0" collapsed="false">
      <c r="A17" s="19" t="s">
        <v>902</v>
      </c>
      <c r="B17" s="48" t="n">
        <v>84658797.99</v>
      </c>
      <c r="C17" s="27" t="n">
        <f aca="false">ROUND((TRUNC((TRUNC(B17/16_PARAMETROS!$C$5,2)-VLOOKUP(MAX(0,TRUNC(B17/16_PARAMETROS!$C$5,2)-0.000000001),16_PARAMETROS!$B$31:$E$37,1,TRUE()))*VLOOKUP(MAX(0,TRUNC(B17/16_PARAMETROS!$C$5,2)-0.000000001),16_PARAMETROS!$B$31:$E$37,3,TRUE())+0.000000001,2)+VLOOKUP(MAX(0,TRUNC(B17/16_PARAMETROS!$C$5,2)-0.000000001),16_PARAMETROS!$B$31:$E$37,4,TRUE()))*16_PARAMETROS!$C$5,-3)</f>
        <v>5777000</v>
      </c>
      <c r="D17" s="49" t="n">
        <v>5777000</v>
      </c>
      <c r="E17" s="13" t="str">
        <f aca="false">IF(C17=D17,"OK","FALLA")</f>
        <v>OK</v>
      </c>
    </row>
    <row r="18" customFormat="false" ht="15" hidden="false" customHeight="false" outlineLevel="0" collapsed="false">
      <c r="A18" s="19" t="s">
        <v>903</v>
      </c>
      <c r="B18" s="48" t="n">
        <v>204175402.01</v>
      </c>
      <c r="C18" s="27" t="n">
        <f aca="false">ROUND((TRUNC((TRUNC(B18/16_PARAMETROS!$C$5,2)-VLOOKUP(MAX(0,TRUNC(B18/16_PARAMETROS!$C$5,2)-0.000000001),16_PARAMETROS!$B$31:$E$37,1,TRUE()))*VLOOKUP(MAX(0,TRUNC(B18/16_PARAMETROS!$C$5,2)-0.000000001),16_PARAMETROS!$B$31:$E$37,3,TRUE())+0.000000001,2)+VLOOKUP(MAX(0,TRUNC(B18/16_PARAMETROS!$C$5,2)-0.000000001),16_PARAMETROS!$B$31:$E$37,4,TRUE()))*16_PARAMETROS!$C$5,-3)</f>
        <v>39241000</v>
      </c>
      <c r="D18" s="49" t="n">
        <v>39241000</v>
      </c>
      <c r="E18" s="13" t="str">
        <f aca="false">IF(C18=D18,"OK","FALLA")</f>
        <v>OK</v>
      </c>
    </row>
    <row r="19" customFormat="false" ht="15" hidden="false" customHeight="false" outlineLevel="0" collapsed="false">
      <c r="A19" s="19" t="s">
        <v>904</v>
      </c>
      <c r="B19" s="48" t="n">
        <v>204175900</v>
      </c>
      <c r="C19" s="27" t="n">
        <f aca="false">ROUND((TRUNC((TRUNC(B19/16_PARAMETROS!$C$5,2)-VLOOKUP(MAX(0,TRUNC(B19/16_PARAMETROS!$C$5,2)-0.000000001),16_PARAMETROS!$B$31:$E$37,1,TRUE()))*VLOOKUP(MAX(0,TRUNC(B19/16_PARAMETROS!$C$5,2)-0.000000001),16_PARAMETROS!$B$31:$E$37,3,TRUE())+0.000000001,2)+VLOOKUP(MAX(0,TRUNC(B19/16_PARAMETROS!$C$5,2)-0.000000001),16_PARAMETROS!$B$31:$E$37,4,TRUE()))*16_PARAMETROS!$C$5,-3)</f>
        <v>39242000</v>
      </c>
      <c r="D19" s="49" t="n">
        <v>39242000</v>
      </c>
      <c r="E19" s="13" t="str">
        <f aca="false">IF(C19=D19,"OK","FALLA")</f>
        <v>OK</v>
      </c>
    </row>
    <row r="20" customFormat="false" ht="15" hidden="false" customHeight="false" outlineLevel="0" collapsed="false">
      <c r="A20" s="19" t="s">
        <v>905</v>
      </c>
      <c r="B20" s="48" t="n">
        <v>204176397.99</v>
      </c>
      <c r="C20" s="27" t="n">
        <f aca="false">ROUND((TRUNC((TRUNC(B20/16_PARAMETROS!$C$5,2)-VLOOKUP(MAX(0,TRUNC(B20/16_PARAMETROS!$C$5,2)-0.000000001),16_PARAMETROS!$B$31:$E$37,1,TRUE()))*VLOOKUP(MAX(0,TRUNC(B20/16_PARAMETROS!$C$5,2)-0.000000001),16_PARAMETROS!$B$31:$E$37,3,TRUE())+0.000000001,2)+VLOOKUP(MAX(0,TRUNC(B20/16_PARAMETROS!$C$5,2)-0.000000001),16_PARAMETROS!$B$31:$E$37,4,TRUE()))*16_PARAMETROS!$C$5,-3)</f>
        <v>39242000</v>
      </c>
      <c r="D20" s="49" t="n">
        <v>39242000</v>
      </c>
      <c r="E20" s="13" t="str">
        <f aca="false">IF(C20=D20,"OK","FALLA")</f>
        <v>OK</v>
      </c>
    </row>
    <row r="21" customFormat="false" ht="15" hidden="false" customHeight="false" outlineLevel="0" collapsed="false">
      <c r="A21" s="19" t="s">
        <v>906</v>
      </c>
      <c r="B21" s="48" t="n">
        <v>431756832.01</v>
      </c>
      <c r="C21" s="27" t="n">
        <f aca="false">ROUND((TRUNC((TRUNC(B21/16_PARAMETROS!$C$5,2)-VLOOKUP(MAX(0,TRUNC(B21/16_PARAMETROS!$C$5,2)-0.000000001),16_PARAMETROS!$B$31:$E$37,1,TRUE()))*VLOOKUP(MAX(0,TRUNC(B21/16_PARAMETROS!$C$5,2)-0.000000001),16_PARAMETROS!$B$31:$E$37,3,TRUE())+0.000000001,2)+VLOOKUP(MAX(0,TRUNC(B21/16_PARAMETROS!$C$5,2)-0.000000001),16_PARAMETROS!$B$31:$E$37,4,TRUE()))*16_PARAMETROS!$C$5,-3)</f>
        <v>114343000</v>
      </c>
      <c r="D21" s="49" t="n">
        <v>114343000</v>
      </c>
      <c r="E21" s="13" t="str">
        <f aca="false">IF(C21=D21,"OK","FALLA")</f>
        <v>OK</v>
      </c>
    </row>
    <row r="22" customFormat="false" ht="15" hidden="false" customHeight="false" outlineLevel="0" collapsed="false">
      <c r="A22" s="19" t="s">
        <v>907</v>
      </c>
      <c r="B22" s="48" t="n">
        <v>431757330</v>
      </c>
      <c r="C22" s="27" t="n">
        <f aca="false">ROUND((TRUNC((TRUNC(B22/16_PARAMETROS!$C$5,2)-VLOOKUP(MAX(0,TRUNC(B22/16_PARAMETROS!$C$5,2)-0.000000001),16_PARAMETROS!$B$31:$E$37,1,TRUE()))*VLOOKUP(MAX(0,TRUNC(B22/16_PARAMETROS!$C$5,2)-0.000000001),16_PARAMETROS!$B$31:$E$37,3,TRUE())+0.000000001,2)+VLOOKUP(MAX(0,TRUNC(B22/16_PARAMETROS!$C$5,2)-0.000000001),16_PARAMETROS!$B$31:$E$37,4,TRUE()))*16_PARAMETROS!$C$5,-3)</f>
        <v>114343000</v>
      </c>
      <c r="D22" s="49" t="n">
        <v>114343000</v>
      </c>
      <c r="E22" s="13" t="str">
        <f aca="false">IF(C22=D22,"OK","FALLA")</f>
        <v>OK</v>
      </c>
    </row>
    <row r="23" customFormat="false" ht="15" hidden="false" customHeight="false" outlineLevel="0" collapsed="false">
      <c r="A23" s="19" t="s">
        <v>908</v>
      </c>
      <c r="B23" s="48" t="n">
        <v>431757827.99</v>
      </c>
      <c r="C23" s="27" t="n">
        <f aca="false">ROUND((TRUNC((TRUNC(B23/16_PARAMETROS!$C$5,2)-VLOOKUP(MAX(0,TRUNC(B23/16_PARAMETROS!$C$5,2)-0.000000001),16_PARAMETROS!$B$31:$E$37,1,TRUE()))*VLOOKUP(MAX(0,TRUNC(B23/16_PARAMETROS!$C$5,2)-0.000000001),16_PARAMETROS!$B$31:$E$37,3,TRUE())+0.000000001,2)+VLOOKUP(MAX(0,TRUNC(B23/16_PARAMETROS!$C$5,2)-0.000000001),16_PARAMETROS!$B$31:$E$37,4,TRUE()))*16_PARAMETROS!$C$5,-3)</f>
        <v>114339000</v>
      </c>
      <c r="D23" s="49" t="n">
        <v>114339000</v>
      </c>
      <c r="E23" s="13" t="str">
        <f aca="false">IF(C23=D23,"OK","FALLA")</f>
        <v>OK</v>
      </c>
    </row>
    <row r="24" customFormat="false" ht="15" hidden="false" customHeight="false" outlineLevel="0" collapsed="false">
      <c r="A24" s="19" t="s">
        <v>909</v>
      </c>
      <c r="B24" s="48" t="n">
        <v>944686532.01</v>
      </c>
      <c r="C24" s="27" t="n">
        <f aca="false">ROUND((TRUNC((TRUNC(B24/16_PARAMETROS!$C$5,2)-VLOOKUP(MAX(0,TRUNC(B24/16_PARAMETROS!$C$5,2)-0.000000001),16_PARAMETROS!$B$31:$E$37,1,TRUE()))*VLOOKUP(MAX(0,TRUNC(B24/16_PARAMETROS!$C$5,2)-0.000000001),16_PARAMETROS!$B$31:$E$37,3,TRUE())+0.000000001,2)+VLOOKUP(MAX(0,TRUNC(B24/16_PARAMETROS!$C$5,2)-0.000000001),16_PARAMETROS!$B$31:$E$37,4,TRUE()))*16_PARAMETROS!$C$5,-3)</f>
        <v>293863000</v>
      </c>
      <c r="D24" s="49" t="n">
        <v>293863000</v>
      </c>
      <c r="E24" s="13" t="str">
        <f aca="false">IF(C24=D24,"OK","FALLA")</f>
        <v>OK</v>
      </c>
    </row>
    <row r="25" customFormat="false" ht="15" hidden="false" customHeight="false" outlineLevel="0" collapsed="false">
      <c r="A25" s="19" t="s">
        <v>910</v>
      </c>
      <c r="B25" s="48" t="n">
        <v>944687030</v>
      </c>
      <c r="C25" s="27" t="n">
        <f aca="false">ROUND((TRUNC((TRUNC(B25/16_PARAMETROS!$C$5,2)-VLOOKUP(MAX(0,TRUNC(B25/16_PARAMETROS!$C$5,2)-0.000000001),16_PARAMETROS!$B$31:$E$37,1,TRUE()))*VLOOKUP(MAX(0,TRUNC(B25/16_PARAMETROS!$C$5,2)-0.000000001),16_PARAMETROS!$B$31:$E$37,3,TRUE())+0.000000001,2)+VLOOKUP(MAX(0,TRUNC(B25/16_PARAMETROS!$C$5,2)-0.000000001),16_PARAMETROS!$B$31:$E$37,4,TRUE()))*16_PARAMETROS!$C$5,-3)</f>
        <v>293864000</v>
      </c>
      <c r="D25" s="49" t="n">
        <v>293864000</v>
      </c>
      <c r="E25" s="13" t="str">
        <f aca="false">IF(C25=D25,"OK","FALLA")</f>
        <v>OK</v>
      </c>
    </row>
    <row r="26" customFormat="false" ht="15" hidden="false" customHeight="false" outlineLevel="0" collapsed="false">
      <c r="A26" s="19" t="s">
        <v>911</v>
      </c>
      <c r="B26" s="48" t="n">
        <v>944687527.99</v>
      </c>
      <c r="C26" s="27" t="n">
        <f aca="false">ROUND((TRUNC((TRUNC(B26/16_PARAMETROS!$C$5,2)-VLOOKUP(MAX(0,TRUNC(B26/16_PARAMETROS!$C$5,2)-0.000000001),16_PARAMETROS!$B$31:$E$37,1,TRUE()))*VLOOKUP(MAX(0,TRUNC(B26/16_PARAMETROS!$C$5,2)-0.000000001),16_PARAMETROS!$B$31:$E$37,3,TRUE())+0.000000001,2)+VLOOKUP(MAX(0,TRUNC(B26/16_PARAMETROS!$C$5,2)-0.000000001),16_PARAMETROS!$B$31:$E$37,4,TRUE()))*16_PARAMETROS!$C$5,-3)</f>
        <v>293864000</v>
      </c>
      <c r="D26" s="49" t="n">
        <v>293864000</v>
      </c>
      <c r="E26" s="13" t="str">
        <f aca="false">IF(C26=D26,"OK","FALLA")</f>
        <v>OK</v>
      </c>
    </row>
    <row r="27" customFormat="false" ht="15" hidden="false" customHeight="false" outlineLevel="0" collapsed="false">
      <c r="A27" s="19" t="s">
        <v>912</v>
      </c>
      <c r="B27" s="48" t="n">
        <v>1543768502.01</v>
      </c>
      <c r="C27" s="27" t="n">
        <f aca="false">ROUND((TRUNC((TRUNC(B27/16_PARAMETROS!$C$5,2)-VLOOKUP(MAX(0,TRUNC(B27/16_PARAMETROS!$C$5,2)-0.000000001),16_PARAMETROS!$B$31:$E$37,1,TRUE()))*VLOOKUP(MAX(0,TRUNC(B27/16_PARAMETROS!$C$5,2)-0.000000001),16_PARAMETROS!$B$31:$E$37,3,TRUE())+0.000000001,2)+VLOOKUP(MAX(0,TRUNC(B27/16_PARAMETROS!$C$5,2)-0.000000001),16_PARAMETROS!$B$31:$E$37,4,TRUE()))*16_PARAMETROS!$C$5,-3)</f>
        <v>515524000</v>
      </c>
      <c r="D27" s="49" t="n">
        <v>515524000</v>
      </c>
      <c r="E27" s="13" t="str">
        <f aca="false">IF(C27=D27,"OK","FALLA")</f>
        <v>OK</v>
      </c>
    </row>
    <row r="28" customFormat="false" ht="15" hidden="false" customHeight="false" outlineLevel="0" collapsed="false">
      <c r="A28" s="19" t="s">
        <v>913</v>
      </c>
      <c r="B28" s="48" t="n">
        <v>1543769000</v>
      </c>
      <c r="C28" s="27" t="n">
        <f aca="false">ROUND((TRUNC((TRUNC(B28/16_PARAMETROS!$C$5,2)-VLOOKUP(MAX(0,TRUNC(B28/16_PARAMETROS!$C$5,2)-0.000000001),16_PARAMETROS!$B$31:$E$37,1,TRUE()))*VLOOKUP(MAX(0,TRUNC(B28/16_PARAMETROS!$C$5,2)-0.000000001),16_PARAMETROS!$B$31:$E$37,3,TRUE())+0.000000001,2)+VLOOKUP(MAX(0,TRUNC(B28/16_PARAMETROS!$C$5,2)-0.000000001),16_PARAMETROS!$B$31:$E$37,4,TRUE()))*16_PARAMETROS!$C$5,-3)</f>
        <v>515524000</v>
      </c>
      <c r="D28" s="49" t="n">
        <v>515524000</v>
      </c>
      <c r="E28" s="13" t="str">
        <f aca="false">IF(C28=D28,"OK","FALLA")</f>
        <v>OK</v>
      </c>
    </row>
    <row r="29" customFormat="false" ht="15" hidden="false" customHeight="false" outlineLevel="0" collapsed="false">
      <c r="A29" s="19" t="s">
        <v>914</v>
      </c>
      <c r="B29" s="48" t="n">
        <v>1543769497.99</v>
      </c>
      <c r="C29" s="27" t="n">
        <f aca="false">ROUND((TRUNC((TRUNC(B29/16_PARAMETROS!$C$5,2)-VLOOKUP(MAX(0,TRUNC(B29/16_PARAMETROS!$C$5,2)-0.000000001),16_PARAMETROS!$B$31:$E$37,1,TRUE()))*VLOOKUP(MAX(0,TRUNC(B29/16_PARAMETROS!$C$5,2)-0.000000001),16_PARAMETROS!$B$31:$E$37,3,TRUE())+0.000000001,2)+VLOOKUP(MAX(0,TRUNC(B29/16_PARAMETROS!$C$5,2)-0.000000001),16_PARAMETROS!$B$31:$E$37,4,TRUE()))*16_PARAMETROS!$C$5,-3)</f>
        <v>515519000</v>
      </c>
      <c r="D29" s="49" t="n">
        <v>515519000</v>
      </c>
      <c r="E29" s="13" t="str">
        <f aca="false">IF(C29=D29,"OK","FALLA")</f>
        <v>OK</v>
      </c>
    </row>
    <row r="30" customFormat="false" ht="15" hidden="false" customHeight="false" outlineLevel="0" collapsed="false">
      <c r="A30" s="19" t="s">
        <v>915</v>
      </c>
      <c r="B30" s="48" t="n">
        <v>24899500</v>
      </c>
      <c r="C30" s="27" t="n">
        <f aca="false">ROUND((TRUNC((TRUNC(B30/16_PARAMETROS!$C$5,2)-VLOOKUP(MAX(0,TRUNC(B30/16_PARAMETROS!$C$5,2)-0.000000001),16_PARAMETROS!$B$31:$E$37,1,TRUE()))*VLOOKUP(MAX(0,TRUNC(B30/16_PARAMETROS!$C$5,2)-0.000000001),16_PARAMETROS!$B$31:$E$37,3,TRUE())+0.000000001,2)+VLOOKUP(MAX(0,TRUNC(B30/16_PARAMETROS!$C$5,2)-0.000000001),16_PARAMETROS!$B$31:$E$37,4,TRUE()))*16_PARAMETROS!$C$5,-3)</f>
        <v>0</v>
      </c>
      <c r="D30" s="49" t="n">
        <v>0</v>
      </c>
      <c r="E30" s="13" t="str">
        <f aca="false">IF(C30=D30,"OK","FALLA")</f>
        <v>OK</v>
      </c>
    </row>
    <row r="31" customFormat="false" ht="15" hidden="false" customHeight="false" outlineLevel="0" collapsed="false">
      <c r="A31" s="19" t="s">
        <v>916</v>
      </c>
      <c r="B31" s="48" t="n">
        <v>124515925.63</v>
      </c>
      <c r="C31" s="27" t="n">
        <f aca="false">ROUND((TRUNC((TRUNC(B31/16_PARAMETROS!$C$5,2)-VLOOKUP(MAX(0,TRUNC(B31/16_PARAMETROS!$C$5,2)-0.000000001),16_PARAMETROS!$B$31:$E$37,1,TRUE()))*VLOOKUP(MAX(0,TRUNC(B31/16_PARAMETROS!$C$5,2)-0.000000001),16_PARAMETROS!$B$31:$E$37,3,TRUE())+0.000000001,2)+VLOOKUP(MAX(0,TRUNC(B31/16_PARAMETROS!$C$5,2)-0.000000001),16_PARAMETROS!$B$31:$E$37,4,TRUE()))*16_PARAMETROS!$C$5,-3)</f>
        <v>16937000</v>
      </c>
      <c r="D31" s="49" t="n">
        <v>16937000</v>
      </c>
      <c r="E31" s="13" t="str">
        <f aca="false">IF(C31=D31,"OK","FALLA")</f>
        <v>OK</v>
      </c>
    </row>
    <row r="32" customFormat="false" ht="15" hidden="false" customHeight="false" outlineLevel="0" collapsed="false">
      <c r="A32" s="19" t="s">
        <v>917</v>
      </c>
      <c r="B32" s="48" t="n">
        <v>597612899.5</v>
      </c>
      <c r="C32" s="27" t="n">
        <f aca="false">ROUND((TRUNC((TRUNC(B32/16_PARAMETROS!$C$5,2)-VLOOKUP(MAX(0,TRUNC(B32/16_PARAMETROS!$C$5,2)-0.000000001),16_PARAMETROS!$B$31:$E$37,1,TRUE()))*VLOOKUP(MAX(0,TRUNC(B32/16_PARAMETROS!$C$5,2)-0.000000001),16_PARAMETROS!$B$31:$E$37,3,TRUE())+0.000000001,2)+VLOOKUP(MAX(0,TRUNC(B32/16_PARAMETROS!$C$5,2)-0.000000001),16_PARAMETROS!$B$31:$E$37,4,TRUE()))*16_PARAMETROS!$C$5,-3)</f>
        <v>172388000</v>
      </c>
      <c r="D32" s="49" t="n">
        <v>172388000</v>
      </c>
      <c r="E32" s="13" t="str">
        <f aca="false">IF(C32=D32,"OK","FALLA")</f>
        <v>OK</v>
      </c>
    </row>
    <row r="33" customFormat="false" ht="15" hidden="false" customHeight="false" outlineLevel="0" collapsed="false">
      <c r="A33" s="19" t="s">
        <v>918</v>
      </c>
      <c r="B33" s="48" t="n">
        <v>2489950000</v>
      </c>
      <c r="C33" s="27" t="n">
        <f aca="false">ROUND((TRUNC((TRUNC(B33/16_PARAMETROS!$C$5,2)-VLOOKUP(MAX(0,TRUNC(B33/16_PARAMETROS!$C$5,2)-0.000000001),16_PARAMETROS!$B$31:$E$37,1,TRUE()))*VLOOKUP(MAX(0,TRUNC(B33/16_PARAMETROS!$C$5,2)-0.000000001),16_PARAMETROS!$B$31:$E$37,3,TRUE())+0.000000001,2)+VLOOKUP(MAX(0,TRUNC(B33/16_PARAMETROS!$C$5,2)-0.000000001),16_PARAMETROS!$B$31:$E$37,4,TRUE()))*16_PARAMETROS!$C$5,-3)</f>
        <v>884530000</v>
      </c>
      <c r="D33" s="49" t="n">
        <v>884530000</v>
      </c>
      <c r="E33" s="13" t="str">
        <f aca="false">IF(C33=D33,"OK","FALLA")</f>
        <v>OK</v>
      </c>
    </row>
    <row r="34" customFormat="false" ht="15" hidden="false" customHeight="false" outlineLevel="0" collapsed="false">
      <c r="A34" s="19" t="s">
        <v>919</v>
      </c>
      <c r="B34" s="48" t="n">
        <v>179461652.28</v>
      </c>
      <c r="C34" s="27" t="n">
        <f aca="false">ROUND((TRUNC((TRUNC(B34/16_PARAMETROS!$C$5,2)-VLOOKUP(MAX(0,TRUNC(B34/16_PARAMETROS!$C$5,2)-0.000000001),16_PARAMETROS!$B$31:$E$37,1,TRUE()))*VLOOKUP(MAX(0,TRUNC(B34/16_PARAMETROS!$C$5,2)-0.000000001),16_PARAMETROS!$B$31:$E$37,3,TRUE())+0.000000001,2)+VLOOKUP(MAX(0,TRUNC(B34/16_PARAMETROS!$C$5,2)-0.000000001),16_PARAMETROS!$B$31:$E$37,4,TRUE()))*16_PARAMETROS!$C$5,-3)</f>
        <v>32322000</v>
      </c>
      <c r="D34" s="49" t="n">
        <v>32322000</v>
      </c>
      <c r="E34" s="13" t="str">
        <f aca="false">IF(C34=D34,"OK","FALLA")</f>
        <v>OK</v>
      </c>
    </row>
    <row r="36" customFormat="false" ht="15" hidden="false" customHeight="true" outlineLevel="0" collapsed="false">
      <c r="A36" s="47" t="s">
        <v>920</v>
      </c>
      <c r="B36" s="47"/>
      <c r="C36" s="47"/>
      <c r="D36" s="47"/>
      <c r="E36" s="47"/>
      <c r="F36" s="47"/>
    </row>
    <row r="37" customFormat="false" ht="15" hidden="false" customHeight="true" outlineLevel="0" collapsed="false">
      <c r="A37" s="15" t="s">
        <v>921</v>
      </c>
      <c r="B37" s="15"/>
      <c r="C37" s="15"/>
      <c r="D37" s="15"/>
      <c r="E37" s="15"/>
      <c r="F37" s="15"/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5"/>
    </row>
  </sheetData>
  <mergeCells count="6">
    <mergeCell ref="A3:F3"/>
    <mergeCell ref="A5:F5"/>
    <mergeCell ref="A9:F9"/>
    <mergeCell ref="A10:F10"/>
    <mergeCell ref="A36:F36"/>
    <mergeCell ref="A37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34"/>
    <col collapsed="false" customWidth="true" hidden="false" outlineLevel="0" max="6" min="6" style="0" width="30"/>
    <col collapsed="false" customWidth="true" hidden="false" outlineLevel="0" max="7" min="7" style="0" width="36"/>
  </cols>
  <sheetData>
    <row r="1" customFormat="false" ht="17.35" hidden="false" customHeight="false" outlineLevel="0" collapsed="false">
      <c r="A1" s="1" t="s">
        <v>922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G2" s="19" t="str">
        <f aca="false">HYPERLINK("#'01_INICIO'!A1","← Volver a 01_INICIO")</f>
        <v>← Volver a 01_INICIO</v>
      </c>
    </row>
    <row r="3" customFormat="false" ht="15" hidden="false" customHeight="false" outlineLevel="0" collapsed="false">
      <c r="A3" s="2" t="s">
        <v>923</v>
      </c>
      <c r="B3" s="2" t="s">
        <v>924</v>
      </c>
      <c r="C3" s="2" t="s">
        <v>925</v>
      </c>
      <c r="D3" s="2" t="s">
        <v>926</v>
      </c>
      <c r="E3" s="2" t="s">
        <v>927</v>
      </c>
      <c r="F3" s="2" t="s">
        <v>928</v>
      </c>
      <c r="G3" s="2" t="s">
        <v>150</v>
      </c>
    </row>
    <row r="4" customFormat="false" ht="19.5" hidden="false" customHeight="true" outlineLevel="0" collapsed="false">
      <c r="A4" s="19" t="n">
        <v>1</v>
      </c>
      <c r="B4" s="29" t="s">
        <v>929</v>
      </c>
      <c r="C4" s="16" t="s">
        <v>930</v>
      </c>
      <c r="D4" s="19" t="s">
        <v>838</v>
      </c>
      <c r="E4" s="19" t="s">
        <v>931</v>
      </c>
      <c r="F4" s="19" t="s">
        <v>932</v>
      </c>
      <c r="G4" s="19"/>
    </row>
    <row r="5" customFormat="false" ht="19.5" hidden="false" customHeight="true" outlineLevel="0" collapsed="false">
      <c r="A5" s="19" t="n">
        <v>2</v>
      </c>
      <c r="B5" s="29" t="s">
        <v>933</v>
      </c>
      <c r="C5" s="16" t="s">
        <v>930</v>
      </c>
      <c r="D5" s="19" t="s">
        <v>866</v>
      </c>
      <c r="E5" s="19" t="s">
        <v>934</v>
      </c>
      <c r="F5" s="19" t="s">
        <v>935</v>
      </c>
      <c r="G5" s="19"/>
    </row>
    <row r="6" customFormat="false" ht="19.5" hidden="false" customHeight="true" outlineLevel="0" collapsed="false">
      <c r="A6" s="19" t="n">
        <v>3</v>
      </c>
      <c r="B6" s="29" t="s">
        <v>936</v>
      </c>
      <c r="C6" s="16" t="s">
        <v>930</v>
      </c>
      <c r="D6" s="19" t="s">
        <v>838</v>
      </c>
      <c r="E6" s="19" t="s">
        <v>937</v>
      </c>
      <c r="F6" s="19" t="s">
        <v>938</v>
      </c>
      <c r="G6" s="19"/>
    </row>
    <row r="7" customFormat="false" ht="19.5" hidden="false" customHeight="true" outlineLevel="0" collapsed="false">
      <c r="A7" s="19" t="n">
        <v>4</v>
      </c>
      <c r="B7" s="29" t="s">
        <v>939</v>
      </c>
      <c r="C7" s="16" t="s">
        <v>930</v>
      </c>
      <c r="D7" s="19" t="s">
        <v>838</v>
      </c>
      <c r="E7" s="19" t="s">
        <v>940</v>
      </c>
      <c r="F7" s="19" t="s">
        <v>941</v>
      </c>
      <c r="G7" s="19"/>
    </row>
    <row r="8" customFormat="false" ht="19.5" hidden="false" customHeight="true" outlineLevel="0" collapsed="false">
      <c r="A8" s="19" t="n">
        <v>5</v>
      </c>
      <c r="B8" s="29" t="s">
        <v>942</v>
      </c>
      <c r="C8" s="16" t="s">
        <v>930</v>
      </c>
      <c r="D8" s="19" t="s">
        <v>838</v>
      </c>
      <c r="E8" s="19" t="s">
        <v>943</v>
      </c>
      <c r="F8" s="19" t="s">
        <v>941</v>
      </c>
      <c r="G8" s="19"/>
    </row>
    <row r="10" customFormat="false" ht="24" hidden="false" customHeight="true" outlineLevel="0" collapsed="false">
      <c r="B10" s="12" t="s">
        <v>944</v>
      </c>
      <c r="C10" s="12"/>
      <c r="D10" s="12"/>
      <c r="E10" s="12"/>
      <c r="F10" s="12"/>
      <c r="G10" s="12"/>
    </row>
  </sheetData>
  <mergeCells count="1">
    <mergeCell ref="B10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46"/>
    <col collapsed="false" customWidth="true" hidden="false" outlineLevel="0" max="4" min="4" style="0" width="16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945</v>
      </c>
      <c r="B1" s="1"/>
      <c r="C1" s="1"/>
      <c r="D1" s="1"/>
      <c r="E1" s="1"/>
    </row>
    <row r="2" customFormat="false" ht="15" hidden="false" customHeight="false" outlineLevel="0" collapsed="false">
      <c r="E2" s="19" t="str">
        <f aca="false">HYPERLINK("#'01_INICIO'!A1","← Volver a 01_INICIO")</f>
        <v>← Volver a 01_INICIO</v>
      </c>
    </row>
    <row r="3" customFormat="false" ht="15" hidden="false" customHeight="false" outlineLevel="0" collapsed="false">
      <c r="A3" s="2" t="s">
        <v>946</v>
      </c>
      <c r="B3" s="2" t="s">
        <v>947</v>
      </c>
      <c r="C3" s="2" t="s">
        <v>143</v>
      </c>
      <c r="D3" s="2" t="s">
        <v>67</v>
      </c>
      <c r="E3" s="2" t="s">
        <v>948</v>
      </c>
    </row>
    <row r="4" customFormat="false" ht="15" hidden="false" customHeight="false" outlineLevel="0" collapsed="false">
      <c r="A4" s="19" t="s">
        <v>153</v>
      </c>
      <c r="B4" s="29" t="s">
        <v>949</v>
      </c>
      <c r="C4" s="29" t="s">
        <v>950</v>
      </c>
      <c r="D4" s="50" t="n">
        <v>150000000</v>
      </c>
      <c r="E4" s="19" t="s">
        <v>951</v>
      </c>
    </row>
    <row r="5" customFormat="false" ht="15" hidden="false" customHeight="false" outlineLevel="0" collapsed="false">
      <c r="A5" s="19" t="s">
        <v>153</v>
      </c>
      <c r="B5" s="29" t="s">
        <v>952</v>
      </c>
      <c r="C5" s="29" t="s">
        <v>953</v>
      </c>
      <c r="D5" s="50" t="n">
        <v>12000000</v>
      </c>
      <c r="E5" s="19" t="s">
        <v>954</v>
      </c>
    </row>
    <row r="6" customFormat="false" ht="15" hidden="false" customHeight="false" outlineLevel="0" collapsed="false">
      <c r="A6" s="19" t="s">
        <v>153</v>
      </c>
      <c r="B6" s="29" t="s">
        <v>952</v>
      </c>
      <c r="C6" s="29" t="s">
        <v>955</v>
      </c>
      <c r="D6" s="50" t="n">
        <v>13500000</v>
      </c>
      <c r="E6" s="19" t="s">
        <v>956</v>
      </c>
    </row>
    <row r="7" customFormat="false" ht="15" hidden="false" customHeight="false" outlineLevel="0" collapsed="false">
      <c r="A7" s="19" t="s">
        <v>153</v>
      </c>
      <c r="B7" s="29" t="s">
        <v>952</v>
      </c>
      <c r="C7" s="29" t="s">
        <v>957</v>
      </c>
      <c r="D7" s="50" t="n">
        <v>5000000</v>
      </c>
      <c r="E7" s="19" t="s">
        <v>958</v>
      </c>
    </row>
    <row r="8" customFormat="false" ht="15" hidden="false" customHeight="false" outlineLevel="0" collapsed="false">
      <c r="A8" s="19" t="s">
        <v>174</v>
      </c>
      <c r="B8" s="29" t="s">
        <v>959</v>
      </c>
      <c r="C8" s="29" t="s">
        <v>960</v>
      </c>
      <c r="D8" s="50" t="n">
        <v>3000000</v>
      </c>
      <c r="E8" s="19" t="s">
        <v>961</v>
      </c>
    </row>
    <row r="9" customFormat="false" ht="15" hidden="false" customHeight="false" outlineLevel="0" collapsed="false">
      <c r="A9" s="19" t="s">
        <v>174</v>
      </c>
      <c r="B9" s="29" t="s">
        <v>959</v>
      </c>
      <c r="C9" s="29" t="s">
        <v>962</v>
      </c>
      <c r="D9" s="50" t="n">
        <v>25000000</v>
      </c>
      <c r="E9" s="19" t="s">
        <v>963</v>
      </c>
    </row>
    <row r="10" customFormat="false" ht="15" hidden="false" customHeight="false" outlineLevel="0" collapsed="false">
      <c r="A10" s="19" t="s">
        <v>180</v>
      </c>
      <c r="B10" s="29" t="s">
        <v>538</v>
      </c>
      <c r="C10" s="29" t="s">
        <v>960</v>
      </c>
      <c r="D10" s="50" t="n">
        <v>1000000</v>
      </c>
      <c r="E10" s="19" t="s">
        <v>961</v>
      </c>
    </row>
    <row r="11" customFormat="false" ht="15" hidden="false" customHeight="false" outlineLevel="0" collapsed="false">
      <c r="A11" s="19" t="s">
        <v>180</v>
      </c>
      <c r="B11" s="29" t="s">
        <v>538</v>
      </c>
      <c r="C11" s="29" t="s">
        <v>962</v>
      </c>
      <c r="D11" s="50" t="n">
        <v>15000000</v>
      </c>
      <c r="E11" s="19" t="s">
        <v>963</v>
      </c>
    </row>
    <row r="12" customFormat="false" ht="15" hidden="false" customHeight="false" outlineLevel="0" collapsed="false">
      <c r="A12" s="19" t="s">
        <v>964</v>
      </c>
      <c r="B12" s="29" t="s">
        <v>965</v>
      </c>
      <c r="C12" s="29" t="s">
        <v>966</v>
      </c>
      <c r="D12" s="50" t="n">
        <v>20000000</v>
      </c>
      <c r="E12" s="19" t="s">
        <v>967</v>
      </c>
    </row>
    <row r="13" customFormat="false" ht="19.4" hidden="false" customHeight="false" outlineLevel="0" collapsed="false">
      <c r="A13" s="19" t="s">
        <v>85</v>
      </c>
      <c r="B13" s="29" t="s">
        <v>968</v>
      </c>
      <c r="C13" s="29" t="s">
        <v>969</v>
      </c>
      <c r="D13" s="50" t="n">
        <v>12000000</v>
      </c>
      <c r="E13" s="19" t="s">
        <v>970</v>
      </c>
    </row>
    <row r="15" customFormat="false" ht="15" hidden="false" customHeight="true" outlineLevel="0" collapsed="false">
      <c r="A15" s="15" t="s">
        <v>971</v>
      </c>
      <c r="B15" s="15"/>
      <c r="C15" s="15"/>
      <c r="D15" s="15"/>
      <c r="E15" s="15"/>
    </row>
    <row r="16" customFormat="false" ht="15" hidden="false" customHeight="false" outlineLevel="0" collapsed="false">
      <c r="A16" s="15"/>
      <c r="B16" s="15"/>
      <c r="C16" s="15"/>
      <c r="D16" s="15"/>
      <c r="E16" s="15"/>
    </row>
  </sheetData>
  <mergeCells count="1">
    <mergeCell ref="A15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J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6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40"/>
    <col collapsed="false" customWidth="true" hidden="false" outlineLevel="0" max="7" min="6" style="0" width="3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1" t="s">
        <v>972</v>
      </c>
      <c r="B1" s="1"/>
      <c r="C1" s="1"/>
      <c r="D1" s="1"/>
      <c r="E1" s="1"/>
    </row>
    <row r="2" customFormat="false" ht="24" hidden="false" customHeight="true" outlineLevel="0" collapsed="false">
      <c r="A2" s="15" t="s">
        <v>973</v>
      </c>
      <c r="B2" s="15"/>
      <c r="C2" s="15"/>
      <c r="D2" s="15"/>
      <c r="E2" s="19" t="str">
        <f aca="false">HYPERLINK("#'01_INICIO'!A1","← Volver a 01_INICIO")</f>
        <v>← Volver a 01_INICIO</v>
      </c>
    </row>
    <row r="3" customFormat="false" ht="22.35" hidden="false" customHeight="false" outlineLevel="0" collapsed="false">
      <c r="H3" s="2" t="s">
        <v>974</v>
      </c>
      <c r="I3" s="2"/>
      <c r="J3" s="2"/>
    </row>
    <row r="4" customFormat="false" ht="15" hidden="false" customHeight="false" outlineLevel="0" collapsed="false">
      <c r="A4" s="2" t="s">
        <v>975</v>
      </c>
      <c r="B4" s="2" t="s">
        <v>976</v>
      </c>
      <c r="C4" s="2" t="s">
        <v>67</v>
      </c>
      <c r="D4" s="2" t="s">
        <v>977</v>
      </c>
      <c r="E4" s="2" t="s">
        <v>978</v>
      </c>
      <c r="H4" s="2" t="s">
        <v>979</v>
      </c>
      <c r="I4" s="2" t="s">
        <v>2</v>
      </c>
      <c r="J4" s="2" t="s">
        <v>69</v>
      </c>
    </row>
    <row r="5" customFormat="false" ht="19.4" hidden="false" customHeight="false" outlineLevel="0" collapsed="false">
      <c r="A5" s="19" t="s">
        <v>980</v>
      </c>
      <c r="B5" s="20" t="s">
        <v>981</v>
      </c>
      <c r="C5" s="26" t="n">
        <v>49799</v>
      </c>
      <c r="D5" s="19" t="s">
        <v>982</v>
      </c>
      <c r="E5" s="19" t="s">
        <v>983</v>
      </c>
      <c r="H5" s="51" t="n">
        <v>0</v>
      </c>
      <c r="I5" s="52" t="n">
        <v>46321</v>
      </c>
      <c r="J5" s="19" t="s">
        <v>984</v>
      </c>
    </row>
    <row r="6" customFormat="false" ht="19.4" hidden="false" customHeight="false" outlineLevel="0" collapsed="false">
      <c r="A6" s="19" t="s">
        <v>985</v>
      </c>
      <c r="B6" s="20" t="s">
        <v>986</v>
      </c>
      <c r="C6" s="26" t="n">
        <v>52374</v>
      </c>
      <c r="D6" s="19" t="s">
        <v>982</v>
      </c>
      <c r="E6" s="19" t="s">
        <v>987</v>
      </c>
      <c r="H6" s="51" t="n">
        <v>1</v>
      </c>
      <c r="I6" s="52" t="n">
        <v>46246</v>
      </c>
      <c r="J6" s="19" t="s">
        <v>984</v>
      </c>
    </row>
    <row r="7" customFormat="false" ht="19.4" hidden="false" customHeight="false" outlineLevel="0" collapsed="false">
      <c r="A7" s="19" t="s">
        <v>988</v>
      </c>
      <c r="B7" s="20" t="s">
        <v>989</v>
      </c>
      <c r="C7" s="26" t="n">
        <v>1340</v>
      </c>
      <c r="D7" s="19" t="s">
        <v>990</v>
      </c>
      <c r="E7" s="19" t="s">
        <v>991</v>
      </c>
      <c r="H7" s="51" t="n">
        <v>2</v>
      </c>
      <c r="I7" s="52" t="n">
        <v>46246</v>
      </c>
      <c r="J7" s="19" t="s">
        <v>984</v>
      </c>
    </row>
    <row r="8" customFormat="false" ht="19.4" hidden="false" customHeight="false" outlineLevel="0" collapsed="false">
      <c r="A8" s="19" t="s">
        <v>992</v>
      </c>
      <c r="B8" s="20" t="s">
        <v>993</v>
      </c>
      <c r="C8" s="26" t="n">
        <v>790</v>
      </c>
      <c r="D8" s="19" t="s">
        <v>990</v>
      </c>
      <c r="E8" s="19" t="s">
        <v>994</v>
      </c>
      <c r="H8" s="51" t="n">
        <v>3</v>
      </c>
      <c r="I8" s="52" t="n">
        <v>46247</v>
      </c>
      <c r="J8" s="19" t="s">
        <v>984</v>
      </c>
    </row>
    <row r="9" customFormat="false" ht="19.4" hidden="false" customHeight="false" outlineLevel="0" collapsed="false">
      <c r="A9" s="19" t="s">
        <v>995</v>
      </c>
      <c r="B9" s="20" t="s">
        <v>996</v>
      </c>
      <c r="C9" s="26" t="n">
        <v>3800</v>
      </c>
      <c r="D9" s="19" t="s">
        <v>990</v>
      </c>
      <c r="E9" s="19" t="s">
        <v>997</v>
      </c>
      <c r="H9" s="51" t="n">
        <v>4</v>
      </c>
      <c r="I9" s="52" t="n">
        <v>46247</v>
      </c>
      <c r="J9" s="19" t="s">
        <v>984</v>
      </c>
    </row>
    <row r="10" customFormat="false" ht="19.4" hidden="false" customHeight="false" outlineLevel="0" collapsed="false">
      <c r="A10" s="19" t="s">
        <v>998</v>
      </c>
      <c r="B10" s="20" t="s">
        <v>999</v>
      </c>
      <c r="C10" s="26" t="n">
        <v>1200</v>
      </c>
      <c r="D10" s="19" t="s">
        <v>990</v>
      </c>
      <c r="E10" s="19" t="s">
        <v>1000</v>
      </c>
      <c r="H10" s="51" t="n">
        <v>5</v>
      </c>
      <c r="I10" s="52" t="n">
        <v>46248</v>
      </c>
      <c r="J10" s="19" t="s">
        <v>984</v>
      </c>
    </row>
    <row r="11" customFormat="false" ht="19.4" hidden="false" customHeight="false" outlineLevel="0" collapsed="false">
      <c r="A11" s="19" t="s">
        <v>1001</v>
      </c>
      <c r="B11" s="20" t="s">
        <v>295</v>
      </c>
      <c r="C11" s="26" t="n">
        <v>100</v>
      </c>
      <c r="D11" s="19" t="s">
        <v>990</v>
      </c>
      <c r="E11" s="19" t="s">
        <v>1002</v>
      </c>
      <c r="H11" s="51" t="n">
        <v>6</v>
      </c>
      <c r="I11" s="52" t="n">
        <v>46248</v>
      </c>
      <c r="J11" s="19" t="s">
        <v>984</v>
      </c>
    </row>
    <row r="12" customFormat="false" ht="19.4" hidden="false" customHeight="false" outlineLevel="0" collapsed="false">
      <c r="A12" s="19" t="s">
        <v>1003</v>
      </c>
      <c r="B12" s="20" t="s">
        <v>1004</v>
      </c>
      <c r="C12" s="26" t="n">
        <v>16</v>
      </c>
      <c r="D12" s="19" t="s">
        <v>1005</v>
      </c>
      <c r="E12" s="19" t="s">
        <v>1006</v>
      </c>
      <c r="H12" s="51" t="n">
        <v>7</v>
      </c>
      <c r="I12" s="52" t="n">
        <v>46252</v>
      </c>
      <c r="J12" s="19" t="s">
        <v>984</v>
      </c>
    </row>
    <row r="13" customFormat="false" ht="19.4" hidden="false" customHeight="false" outlineLevel="0" collapsed="false">
      <c r="A13" s="19" t="s">
        <v>1007</v>
      </c>
      <c r="B13" s="20" t="s">
        <v>1008</v>
      </c>
      <c r="C13" s="26" t="n">
        <v>32</v>
      </c>
      <c r="D13" s="19" t="s">
        <v>1005</v>
      </c>
      <c r="E13" s="19" t="s">
        <v>1009</v>
      </c>
      <c r="H13" s="51" t="n">
        <v>8</v>
      </c>
      <c r="I13" s="52" t="n">
        <v>46252</v>
      </c>
      <c r="J13" s="19" t="s">
        <v>984</v>
      </c>
    </row>
    <row r="14" customFormat="false" ht="19.4" hidden="false" customHeight="false" outlineLevel="0" collapsed="false">
      <c r="A14" s="19" t="s">
        <v>1010</v>
      </c>
      <c r="B14" s="20" t="s">
        <v>1011</v>
      </c>
      <c r="C14" s="26" t="n">
        <v>72</v>
      </c>
      <c r="D14" s="19" t="s">
        <v>1012</v>
      </c>
      <c r="E14" s="19" t="s">
        <v>1013</v>
      </c>
      <c r="H14" s="51" t="n">
        <v>9</v>
      </c>
      <c r="I14" s="52" t="n">
        <v>46253</v>
      </c>
      <c r="J14" s="19" t="s">
        <v>984</v>
      </c>
    </row>
    <row r="15" customFormat="false" ht="19.4" hidden="false" customHeight="false" outlineLevel="0" collapsed="false">
      <c r="A15" s="19" t="s">
        <v>1014</v>
      </c>
      <c r="B15" s="20" t="s">
        <v>1015</v>
      </c>
      <c r="C15" s="26" t="n">
        <v>4</v>
      </c>
      <c r="D15" s="19" t="s">
        <v>1016</v>
      </c>
      <c r="E15" s="19" t="s">
        <v>1013</v>
      </c>
      <c r="H15" s="51" t="n">
        <v>10</v>
      </c>
      <c r="I15" s="52" t="n">
        <v>46253</v>
      </c>
      <c r="J15" s="19" t="s">
        <v>984</v>
      </c>
    </row>
    <row r="16" customFormat="false" ht="19.4" hidden="false" customHeight="false" outlineLevel="0" collapsed="false">
      <c r="A16" s="19" t="s">
        <v>1017</v>
      </c>
      <c r="B16" s="20" t="s">
        <v>1018</v>
      </c>
      <c r="C16" s="26" t="n">
        <v>240</v>
      </c>
      <c r="D16" s="19" t="s">
        <v>990</v>
      </c>
      <c r="E16" s="19" t="s">
        <v>1019</v>
      </c>
      <c r="H16" s="51" t="n">
        <v>11</v>
      </c>
      <c r="I16" s="52" t="n">
        <v>46254</v>
      </c>
      <c r="J16" s="19" t="s">
        <v>984</v>
      </c>
    </row>
    <row r="17" customFormat="false" ht="19.4" hidden="false" customHeight="false" outlineLevel="0" collapsed="false">
      <c r="A17" s="19" t="s">
        <v>1020</v>
      </c>
      <c r="B17" s="20" t="s">
        <v>1021</v>
      </c>
      <c r="C17" s="26" t="n">
        <v>10</v>
      </c>
      <c r="D17" s="19" t="s">
        <v>990</v>
      </c>
      <c r="E17" s="19" t="s">
        <v>1022</v>
      </c>
      <c r="H17" s="51" t="n">
        <v>12</v>
      </c>
      <c r="I17" s="52" t="n">
        <v>46254</v>
      </c>
      <c r="J17" s="19" t="s">
        <v>984</v>
      </c>
    </row>
    <row r="18" customFormat="false" ht="19.4" hidden="false" customHeight="false" outlineLevel="0" collapsed="false">
      <c r="A18" s="19" t="s">
        <v>1023</v>
      </c>
      <c r="B18" s="20" t="s">
        <v>1024</v>
      </c>
      <c r="C18" s="26" t="n">
        <v>4500</v>
      </c>
      <c r="D18" s="19" t="s">
        <v>990</v>
      </c>
      <c r="E18" s="19" t="s">
        <v>1025</v>
      </c>
      <c r="H18" s="51" t="n">
        <v>13</v>
      </c>
      <c r="I18" s="52" t="n">
        <v>46255</v>
      </c>
      <c r="J18" s="19" t="s">
        <v>984</v>
      </c>
    </row>
    <row r="19" customFormat="false" ht="19.4" hidden="false" customHeight="false" outlineLevel="0" collapsed="false">
      <c r="A19" s="19" t="s">
        <v>1026</v>
      </c>
      <c r="B19" s="20" t="s">
        <v>1027</v>
      </c>
      <c r="C19" s="26" t="n">
        <v>1400</v>
      </c>
      <c r="D19" s="19" t="s">
        <v>990</v>
      </c>
      <c r="E19" s="19" t="s">
        <v>1028</v>
      </c>
      <c r="H19" s="51" t="n">
        <v>14</v>
      </c>
      <c r="I19" s="52" t="n">
        <v>46255</v>
      </c>
      <c r="J19" s="19" t="s">
        <v>984</v>
      </c>
    </row>
    <row r="20" customFormat="false" ht="19.4" hidden="false" customHeight="false" outlineLevel="0" collapsed="false">
      <c r="A20" s="19" t="s">
        <v>1029</v>
      </c>
      <c r="B20" s="20" t="s">
        <v>1030</v>
      </c>
      <c r="C20" s="26" t="n">
        <v>100000</v>
      </c>
      <c r="D20" s="19" t="s">
        <v>990</v>
      </c>
      <c r="E20" s="19" t="s">
        <v>1031</v>
      </c>
      <c r="H20" s="51" t="n">
        <v>15</v>
      </c>
      <c r="I20" s="52" t="n">
        <v>46258</v>
      </c>
      <c r="J20" s="19" t="s">
        <v>984</v>
      </c>
    </row>
    <row r="21" customFormat="false" ht="19.4" hidden="false" customHeight="false" outlineLevel="0" collapsed="false">
      <c r="A21" s="19" t="s">
        <v>1032</v>
      </c>
      <c r="B21" s="20" t="s">
        <v>1033</v>
      </c>
      <c r="C21" s="32" t="n">
        <v>0.5543</v>
      </c>
      <c r="D21" s="19" t="s">
        <v>1034</v>
      </c>
      <c r="E21" s="19" t="s">
        <v>1035</v>
      </c>
      <c r="H21" s="51" t="n">
        <v>16</v>
      </c>
      <c r="I21" s="52" t="n">
        <v>46258</v>
      </c>
      <c r="J21" s="19" t="s">
        <v>984</v>
      </c>
    </row>
    <row r="22" customFormat="false" ht="19.4" hidden="false" customHeight="false" outlineLevel="0" collapsed="false">
      <c r="A22" s="19" t="s">
        <v>1036</v>
      </c>
      <c r="B22" s="20" t="s">
        <v>1037</v>
      </c>
      <c r="C22" s="32" t="n">
        <v>0.15</v>
      </c>
      <c r="D22" s="19" t="s">
        <v>1034</v>
      </c>
      <c r="E22" s="19" t="s">
        <v>1038</v>
      </c>
      <c r="H22" s="51" t="n">
        <v>17</v>
      </c>
      <c r="I22" s="52" t="n">
        <v>46259</v>
      </c>
      <c r="J22" s="19" t="s">
        <v>984</v>
      </c>
    </row>
    <row r="23" customFormat="false" ht="19.4" hidden="false" customHeight="false" outlineLevel="0" collapsed="false">
      <c r="A23" s="19" t="s">
        <v>1039</v>
      </c>
      <c r="B23" s="20" t="s">
        <v>1040</v>
      </c>
      <c r="C23" s="32" t="n">
        <v>0.2</v>
      </c>
      <c r="D23" s="19" t="s">
        <v>1034</v>
      </c>
      <c r="E23" s="19" t="s">
        <v>1041</v>
      </c>
      <c r="H23" s="51" t="n">
        <v>18</v>
      </c>
      <c r="I23" s="52" t="n">
        <v>46259</v>
      </c>
      <c r="J23" s="19" t="s">
        <v>984</v>
      </c>
    </row>
    <row r="24" customFormat="false" ht="19.4" hidden="false" customHeight="false" outlineLevel="0" collapsed="false">
      <c r="A24" s="19" t="s">
        <v>1042</v>
      </c>
      <c r="B24" s="20" t="s">
        <v>1043</v>
      </c>
      <c r="C24" s="32" t="n">
        <v>0.35</v>
      </c>
      <c r="D24" s="19" t="s">
        <v>1034</v>
      </c>
      <c r="E24" s="19" t="s">
        <v>1044</v>
      </c>
      <c r="H24" s="51" t="n">
        <v>19</v>
      </c>
      <c r="I24" s="52" t="n">
        <v>46260</v>
      </c>
      <c r="J24" s="19" t="s">
        <v>984</v>
      </c>
    </row>
    <row r="25" customFormat="false" ht="19.4" hidden="false" customHeight="false" outlineLevel="0" collapsed="false">
      <c r="A25" s="19" t="s">
        <v>1045</v>
      </c>
      <c r="B25" s="20" t="s">
        <v>1046</v>
      </c>
      <c r="C25" s="32" t="n">
        <v>0</v>
      </c>
      <c r="D25" s="19" t="s">
        <v>1034</v>
      </c>
      <c r="E25" s="19" t="s">
        <v>1047</v>
      </c>
      <c r="H25" s="51" t="n">
        <v>20</v>
      </c>
      <c r="I25" s="52" t="n">
        <v>46260</v>
      </c>
      <c r="J25" s="19" t="s">
        <v>984</v>
      </c>
    </row>
    <row r="26" customFormat="false" ht="22.35" hidden="false" customHeight="false" outlineLevel="0" collapsed="false">
      <c r="A26" s="19" t="s">
        <v>1048</v>
      </c>
      <c r="B26" s="20" t="s">
        <v>1049</v>
      </c>
      <c r="C26" s="32" t="n">
        <v>0.2835</v>
      </c>
      <c r="D26" s="19" t="s">
        <v>1034</v>
      </c>
      <c r="E26" s="19" t="s">
        <v>1050</v>
      </c>
      <c r="H26" s="51" t="n">
        <v>21</v>
      </c>
      <c r="I26" s="52" t="n">
        <v>46261</v>
      </c>
      <c r="J26" s="19" t="s">
        <v>984</v>
      </c>
    </row>
    <row r="27" customFormat="false" ht="19.4" hidden="false" customHeight="false" outlineLevel="0" collapsed="false">
      <c r="A27" s="19" t="s">
        <v>1051</v>
      </c>
      <c r="B27" s="20" t="s">
        <v>1052</v>
      </c>
      <c r="C27" s="26" t="n">
        <v>2500</v>
      </c>
      <c r="D27" s="19" t="s">
        <v>990</v>
      </c>
      <c r="E27" s="19" t="s">
        <v>1053</v>
      </c>
      <c r="H27" s="51" t="n">
        <v>22</v>
      </c>
      <c r="I27" s="52" t="n">
        <v>46261</v>
      </c>
      <c r="J27" s="19" t="s">
        <v>984</v>
      </c>
    </row>
    <row r="28" customFormat="false" ht="19.4" hidden="false" customHeight="false" outlineLevel="0" collapsed="false">
      <c r="H28" s="51" t="n">
        <v>23</v>
      </c>
      <c r="I28" s="52" t="n">
        <v>46262</v>
      </c>
      <c r="J28" s="19" t="s">
        <v>984</v>
      </c>
    </row>
    <row r="29" customFormat="false" ht="19.4" hidden="false" customHeight="false" outlineLevel="0" collapsed="false">
      <c r="A29" s="7" t="s">
        <v>1054</v>
      </c>
      <c r="B29" s="7"/>
      <c r="C29" s="7"/>
      <c r="D29" s="7"/>
      <c r="E29" s="7"/>
      <c r="H29" s="51" t="n">
        <v>24</v>
      </c>
      <c r="I29" s="52" t="n">
        <v>46262</v>
      </c>
      <c r="J29" s="19" t="s">
        <v>984</v>
      </c>
    </row>
    <row r="30" customFormat="false" ht="19.4" hidden="false" customHeight="false" outlineLevel="0" collapsed="false">
      <c r="A30" s="2" t="s">
        <v>1055</v>
      </c>
      <c r="B30" s="2" t="s">
        <v>1056</v>
      </c>
      <c r="C30" s="2" t="s">
        <v>1057</v>
      </c>
      <c r="D30" s="2" t="s">
        <v>1058</v>
      </c>
      <c r="E30" s="2" t="s">
        <v>1059</v>
      </c>
      <c r="H30" s="51" t="n">
        <v>25</v>
      </c>
      <c r="I30" s="52" t="n">
        <v>46265</v>
      </c>
      <c r="J30" s="19" t="s">
        <v>984</v>
      </c>
    </row>
    <row r="31" customFormat="false" ht="19.4" hidden="false" customHeight="false" outlineLevel="0" collapsed="false">
      <c r="A31" s="19" t="n">
        <v>1</v>
      </c>
      <c r="B31" s="26" t="n">
        <v>0</v>
      </c>
      <c r="C31" s="26" t="n">
        <v>1090</v>
      </c>
      <c r="D31" s="53" t="n">
        <v>0</v>
      </c>
      <c r="E31" s="26" t="n">
        <v>0</v>
      </c>
      <c r="H31" s="51" t="n">
        <v>26</v>
      </c>
      <c r="I31" s="52" t="n">
        <v>46265</v>
      </c>
      <c r="J31" s="19" t="s">
        <v>984</v>
      </c>
    </row>
    <row r="32" customFormat="false" ht="19.4" hidden="false" customHeight="false" outlineLevel="0" collapsed="false">
      <c r="A32" s="19" t="n">
        <v>2</v>
      </c>
      <c r="B32" s="26" t="n">
        <v>1090</v>
      </c>
      <c r="C32" s="26" t="n">
        <v>1700</v>
      </c>
      <c r="D32" s="53" t="n">
        <v>0.19</v>
      </c>
      <c r="E32" s="26" t="n">
        <v>0</v>
      </c>
      <c r="H32" s="51" t="n">
        <v>27</v>
      </c>
      <c r="I32" s="52" t="n">
        <v>46266</v>
      </c>
      <c r="J32" s="19" t="s">
        <v>984</v>
      </c>
    </row>
    <row r="33" customFormat="false" ht="19.4" hidden="false" customHeight="false" outlineLevel="0" collapsed="false">
      <c r="A33" s="19" t="n">
        <v>3</v>
      </c>
      <c r="B33" s="26" t="n">
        <v>1700</v>
      </c>
      <c r="C33" s="26" t="n">
        <v>4100</v>
      </c>
      <c r="D33" s="53" t="n">
        <v>0.28</v>
      </c>
      <c r="E33" s="26" t="n">
        <v>116</v>
      </c>
      <c r="H33" s="51" t="n">
        <v>28</v>
      </c>
      <c r="I33" s="52" t="n">
        <v>46266</v>
      </c>
      <c r="J33" s="19" t="s">
        <v>984</v>
      </c>
    </row>
    <row r="34" customFormat="false" ht="19.4" hidden="false" customHeight="false" outlineLevel="0" collapsed="false">
      <c r="A34" s="19" t="n">
        <v>4</v>
      </c>
      <c r="B34" s="26" t="n">
        <v>4100</v>
      </c>
      <c r="C34" s="26" t="n">
        <v>8670</v>
      </c>
      <c r="D34" s="53" t="n">
        <v>0.33</v>
      </c>
      <c r="E34" s="26" t="n">
        <v>788</v>
      </c>
      <c r="H34" s="51" t="n">
        <v>29</v>
      </c>
      <c r="I34" s="52" t="n">
        <v>46267</v>
      </c>
      <c r="J34" s="19" t="s">
        <v>984</v>
      </c>
    </row>
    <row r="35" customFormat="false" ht="19.4" hidden="false" customHeight="false" outlineLevel="0" collapsed="false">
      <c r="A35" s="19" t="n">
        <v>5</v>
      </c>
      <c r="B35" s="26" t="n">
        <v>8670</v>
      </c>
      <c r="C35" s="26" t="n">
        <v>18970</v>
      </c>
      <c r="D35" s="53" t="n">
        <v>0.35</v>
      </c>
      <c r="E35" s="26" t="n">
        <v>2296</v>
      </c>
      <c r="H35" s="51" t="n">
        <v>30</v>
      </c>
      <c r="I35" s="52" t="n">
        <v>46267</v>
      </c>
      <c r="J35" s="19" t="s">
        <v>984</v>
      </c>
    </row>
    <row r="36" customFormat="false" ht="19.4" hidden="false" customHeight="false" outlineLevel="0" collapsed="false">
      <c r="A36" s="19" t="n">
        <v>6</v>
      </c>
      <c r="B36" s="26" t="n">
        <v>18970</v>
      </c>
      <c r="C36" s="26" t="n">
        <v>31000</v>
      </c>
      <c r="D36" s="53" t="n">
        <v>0.37</v>
      </c>
      <c r="E36" s="26" t="n">
        <v>5901</v>
      </c>
      <c r="H36" s="51" t="n">
        <v>31</v>
      </c>
      <c r="I36" s="52" t="n">
        <v>46268</v>
      </c>
      <c r="J36" s="19" t="s">
        <v>984</v>
      </c>
    </row>
    <row r="37" customFormat="false" ht="19.4" hidden="false" customHeight="false" outlineLevel="0" collapsed="false">
      <c r="A37" s="19" t="n">
        <v>7</v>
      </c>
      <c r="B37" s="26" t="n">
        <v>31000</v>
      </c>
      <c r="C37" s="26" t="n">
        <v>999999999</v>
      </c>
      <c r="D37" s="53" t="n">
        <v>0.39</v>
      </c>
      <c r="E37" s="26" t="n">
        <v>10352</v>
      </c>
      <c r="H37" s="51" t="n">
        <v>32</v>
      </c>
      <c r="I37" s="52" t="n">
        <v>46268</v>
      </c>
      <c r="J37" s="19" t="s">
        <v>984</v>
      </c>
    </row>
    <row r="38" customFormat="false" ht="19.4" hidden="false" customHeight="false" outlineLevel="0" collapsed="false">
      <c r="H38" s="51" t="n">
        <v>33</v>
      </c>
      <c r="I38" s="52" t="n">
        <v>46269</v>
      </c>
      <c r="J38" s="19" t="s">
        <v>984</v>
      </c>
    </row>
    <row r="39" customFormat="false" ht="19.4" hidden="false" customHeight="false" outlineLevel="0" collapsed="false">
      <c r="H39" s="51" t="n">
        <v>34</v>
      </c>
      <c r="I39" s="52" t="n">
        <v>46269</v>
      </c>
      <c r="J39" s="19" t="s">
        <v>984</v>
      </c>
    </row>
    <row r="40" customFormat="false" ht="19.4" hidden="false" customHeight="false" outlineLevel="0" collapsed="false">
      <c r="A40" s="7" t="s">
        <v>1060</v>
      </c>
      <c r="B40" s="7"/>
      <c r="C40" s="7"/>
      <c r="D40" s="7"/>
      <c r="E40" s="7"/>
      <c r="H40" s="51" t="n">
        <v>35</v>
      </c>
      <c r="I40" s="52" t="n">
        <v>46272</v>
      </c>
      <c r="J40" s="19" t="s">
        <v>984</v>
      </c>
    </row>
    <row r="41" customFormat="false" ht="19.4" hidden="false" customHeight="false" outlineLevel="0" collapsed="false">
      <c r="B41" s="26" t="n">
        <v>0</v>
      </c>
      <c r="C41" s="26" t="n">
        <v>1090</v>
      </c>
      <c r="D41" s="53" t="n">
        <v>0</v>
      </c>
      <c r="E41" s="26" t="n">
        <v>0</v>
      </c>
      <c r="H41" s="51" t="n">
        <v>36</v>
      </c>
      <c r="I41" s="52" t="n">
        <v>46272</v>
      </c>
      <c r="J41" s="19" t="s">
        <v>984</v>
      </c>
    </row>
    <row r="42" customFormat="false" ht="19.4" hidden="false" customHeight="false" outlineLevel="0" collapsed="false">
      <c r="B42" s="26" t="n">
        <v>1090</v>
      </c>
      <c r="C42" s="26" t="n">
        <v>1700</v>
      </c>
      <c r="D42" s="53" t="n">
        <v>0.19</v>
      </c>
      <c r="E42" s="26" t="n">
        <v>0</v>
      </c>
      <c r="H42" s="51" t="n">
        <v>37</v>
      </c>
      <c r="I42" s="52" t="n">
        <v>46273</v>
      </c>
      <c r="J42" s="19" t="s">
        <v>984</v>
      </c>
    </row>
    <row r="43" customFormat="false" ht="19.4" hidden="false" customHeight="false" outlineLevel="0" collapsed="false">
      <c r="B43" s="26" t="n">
        <v>1700</v>
      </c>
      <c r="C43" s="26" t="n">
        <v>4100</v>
      </c>
      <c r="D43" s="53" t="n">
        <v>0.28</v>
      </c>
      <c r="E43" s="26" t="n">
        <v>116</v>
      </c>
      <c r="H43" s="51" t="n">
        <v>38</v>
      </c>
      <c r="I43" s="52" t="n">
        <v>46273</v>
      </c>
      <c r="J43" s="19" t="s">
        <v>984</v>
      </c>
    </row>
    <row r="44" customFormat="false" ht="19.4" hidden="false" customHeight="false" outlineLevel="0" collapsed="false">
      <c r="B44" s="26" t="n">
        <v>4100</v>
      </c>
      <c r="C44" s="26" t="n">
        <v>999999999</v>
      </c>
      <c r="D44" s="53" t="n">
        <v>0.33</v>
      </c>
      <c r="E44" s="26" t="n">
        <v>788</v>
      </c>
      <c r="H44" s="51" t="n">
        <v>39</v>
      </c>
      <c r="I44" s="52" t="n">
        <v>46274</v>
      </c>
      <c r="J44" s="19" t="s">
        <v>984</v>
      </c>
    </row>
    <row r="45" customFormat="false" ht="19.4" hidden="false" customHeight="false" outlineLevel="0" collapsed="false">
      <c r="H45" s="51" t="n">
        <v>40</v>
      </c>
      <c r="I45" s="52" t="n">
        <v>46274</v>
      </c>
      <c r="J45" s="19" t="s">
        <v>984</v>
      </c>
    </row>
    <row r="46" customFormat="false" ht="19.4" hidden="false" customHeight="false" outlineLevel="0" collapsed="false">
      <c r="A46" s="7" t="s">
        <v>1061</v>
      </c>
      <c r="B46" s="7"/>
      <c r="C46" s="7"/>
      <c r="D46" s="7"/>
      <c r="E46" s="7"/>
      <c r="H46" s="51" t="n">
        <v>41</v>
      </c>
      <c r="I46" s="52" t="n">
        <v>46275</v>
      </c>
      <c r="J46" s="19" t="s">
        <v>984</v>
      </c>
    </row>
    <row r="47" customFormat="false" ht="22.35" hidden="false" customHeight="false" outlineLevel="0" collapsed="false">
      <c r="B47" s="2" t="s">
        <v>1056</v>
      </c>
      <c r="C47" s="2" t="s">
        <v>1057</v>
      </c>
      <c r="D47" s="2" t="s">
        <v>1062</v>
      </c>
      <c r="H47" s="51" t="n">
        <v>42</v>
      </c>
      <c r="I47" s="52" t="n">
        <v>46275</v>
      </c>
      <c r="J47" s="19" t="s">
        <v>984</v>
      </c>
    </row>
    <row r="48" customFormat="false" ht="19.4" hidden="false" customHeight="false" outlineLevel="0" collapsed="false">
      <c r="B48" s="26" t="n">
        <v>0</v>
      </c>
      <c r="C48" s="26" t="n">
        <v>350</v>
      </c>
      <c r="D48" s="53" t="n">
        <v>1</v>
      </c>
      <c r="H48" s="51" t="n">
        <v>43</v>
      </c>
      <c r="I48" s="52" t="n">
        <v>46276</v>
      </c>
      <c r="J48" s="19" t="s">
        <v>984</v>
      </c>
    </row>
    <row r="49" customFormat="false" ht="19.4" hidden="false" customHeight="false" outlineLevel="0" collapsed="false">
      <c r="B49" s="26" t="n">
        <v>350</v>
      </c>
      <c r="C49" s="26" t="n">
        <v>410</v>
      </c>
      <c r="D49" s="53" t="n">
        <v>0.9</v>
      </c>
      <c r="H49" s="51" t="n">
        <v>44</v>
      </c>
      <c r="I49" s="52" t="n">
        <v>46276</v>
      </c>
      <c r="J49" s="19" t="s">
        <v>984</v>
      </c>
    </row>
    <row r="50" customFormat="false" ht="19.4" hidden="false" customHeight="false" outlineLevel="0" collapsed="false">
      <c r="B50" s="26" t="n">
        <v>410</v>
      </c>
      <c r="C50" s="26" t="n">
        <v>470</v>
      </c>
      <c r="D50" s="53" t="n">
        <v>0.8</v>
      </c>
      <c r="H50" s="51" t="n">
        <v>45</v>
      </c>
      <c r="I50" s="52" t="n">
        <v>46279</v>
      </c>
      <c r="J50" s="19" t="s">
        <v>984</v>
      </c>
    </row>
    <row r="51" customFormat="false" ht="19.4" hidden="false" customHeight="false" outlineLevel="0" collapsed="false">
      <c r="B51" s="26" t="n">
        <v>470</v>
      </c>
      <c r="C51" s="26" t="n">
        <v>530</v>
      </c>
      <c r="D51" s="53" t="n">
        <v>0.6</v>
      </c>
      <c r="H51" s="51" t="n">
        <v>46</v>
      </c>
      <c r="I51" s="52" t="n">
        <v>46279</v>
      </c>
      <c r="J51" s="19" t="s">
        <v>984</v>
      </c>
    </row>
    <row r="52" customFormat="false" ht="19.4" hidden="false" customHeight="false" outlineLevel="0" collapsed="false">
      <c r="B52" s="26" t="n">
        <v>530</v>
      </c>
      <c r="C52" s="26" t="n">
        <v>590</v>
      </c>
      <c r="D52" s="53" t="n">
        <v>0.4</v>
      </c>
      <c r="H52" s="51" t="n">
        <v>47</v>
      </c>
      <c r="I52" s="52" t="n">
        <v>46280</v>
      </c>
      <c r="J52" s="19" t="s">
        <v>984</v>
      </c>
    </row>
    <row r="53" customFormat="false" ht="19.4" hidden="false" customHeight="false" outlineLevel="0" collapsed="false">
      <c r="B53" s="26" t="n">
        <v>590</v>
      </c>
      <c r="C53" s="26" t="n">
        <v>650</v>
      </c>
      <c r="D53" s="53" t="n">
        <v>0.2</v>
      </c>
      <c r="H53" s="51" t="n">
        <v>48</v>
      </c>
      <c r="I53" s="52" t="n">
        <v>46280</v>
      </c>
      <c r="J53" s="19" t="s">
        <v>984</v>
      </c>
    </row>
    <row r="54" customFormat="false" ht="19.4" hidden="false" customHeight="false" outlineLevel="0" collapsed="false">
      <c r="B54" s="26" t="n">
        <v>650</v>
      </c>
      <c r="C54" s="26" t="n">
        <v>999999999</v>
      </c>
      <c r="D54" s="53" t="n">
        <v>0</v>
      </c>
      <c r="H54" s="51" t="n">
        <v>49</v>
      </c>
      <c r="I54" s="52" t="n">
        <v>46281</v>
      </c>
      <c r="J54" s="19" t="s">
        <v>984</v>
      </c>
    </row>
    <row r="55" customFormat="false" ht="19.4" hidden="false" customHeight="false" outlineLevel="0" collapsed="false">
      <c r="H55" s="51" t="n">
        <v>50</v>
      </c>
      <c r="I55" s="52" t="n">
        <v>46281</v>
      </c>
      <c r="J55" s="19" t="s">
        <v>984</v>
      </c>
    </row>
    <row r="56" customFormat="false" ht="19.4" hidden="false" customHeight="false" outlineLevel="0" collapsed="false">
      <c r="A56" s="7" t="s">
        <v>1063</v>
      </c>
      <c r="B56" s="7"/>
      <c r="C56" s="7"/>
      <c r="D56" s="7"/>
      <c r="E56" s="7"/>
      <c r="H56" s="51" t="n">
        <v>51</v>
      </c>
      <c r="I56" s="52" t="n">
        <v>46282</v>
      </c>
      <c r="J56" s="19" t="s">
        <v>984</v>
      </c>
    </row>
    <row r="57" customFormat="false" ht="22.35" hidden="false" customHeight="false" outlineLevel="0" collapsed="false">
      <c r="B57" s="20" t="s">
        <v>1064</v>
      </c>
      <c r="C57" s="27" t="n">
        <f aca="false">ROUND(71*47065,0)</f>
        <v>3341615</v>
      </c>
      <c r="E57" s="19" t="s">
        <v>1065</v>
      </c>
      <c r="H57" s="51" t="n">
        <v>52</v>
      </c>
      <c r="I57" s="52" t="n">
        <v>46282</v>
      </c>
      <c r="J57" s="19" t="s">
        <v>984</v>
      </c>
    </row>
    <row r="58" customFormat="false" ht="22.35" hidden="false" customHeight="false" outlineLevel="0" collapsed="false">
      <c r="B58" s="20" t="s">
        <v>1066</v>
      </c>
      <c r="C58" s="27" t="n">
        <f aca="false">ROUND(5000*16_PARAMETROS!$C$5,-3)</f>
        <v>248995000</v>
      </c>
      <c r="E58" s="19" t="s">
        <v>1067</v>
      </c>
      <c r="H58" s="51" t="n">
        <v>53</v>
      </c>
      <c r="I58" s="52" t="n">
        <v>46283</v>
      </c>
      <c r="J58" s="19" t="s">
        <v>984</v>
      </c>
    </row>
    <row r="59" customFormat="false" ht="19.4" hidden="false" customHeight="false" outlineLevel="0" collapsed="false">
      <c r="H59" s="51" t="n">
        <v>54</v>
      </c>
      <c r="I59" s="52" t="n">
        <v>46283</v>
      </c>
      <c r="J59" s="19" t="s">
        <v>984</v>
      </c>
    </row>
    <row r="60" customFormat="false" ht="19.4" hidden="false" customHeight="false" outlineLevel="0" collapsed="false">
      <c r="H60" s="51" t="n">
        <v>55</v>
      </c>
      <c r="I60" s="52" t="n">
        <v>46286</v>
      </c>
      <c r="J60" s="19" t="s">
        <v>984</v>
      </c>
    </row>
    <row r="61" customFormat="false" ht="19.4" hidden="false" customHeight="false" outlineLevel="0" collapsed="false">
      <c r="H61" s="51" t="n">
        <v>56</v>
      </c>
      <c r="I61" s="52" t="n">
        <v>46286</v>
      </c>
      <c r="J61" s="19" t="s">
        <v>984</v>
      </c>
    </row>
    <row r="62" customFormat="false" ht="19.4" hidden="false" customHeight="false" outlineLevel="0" collapsed="false">
      <c r="H62" s="51" t="n">
        <v>57</v>
      </c>
      <c r="I62" s="52" t="n">
        <v>46287</v>
      </c>
      <c r="J62" s="19" t="s">
        <v>984</v>
      </c>
    </row>
    <row r="63" customFormat="false" ht="19.4" hidden="false" customHeight="false" outlineLevel="0" collapsed="false">
      <c r="H63" s="51" t="n">
        <v>58</v>
      </c>
      <c r="I63" s="52" t="n">
        <v>46287</v>
      </c>
      <c r="J63" s="19" t="s">
        <v>984</v>
      </c>
    </row>
    <row r="64" customFormat="false" ht="19.4" hidden="false" customHeight="false" outlineLevel="0" collapsed="false">
      <c r="H64" s="51" t="n">
        <v>59</v>
      </c>
      <c r="I64" s="52" t="n">
        <v>46288</v>
      </c>
      <c r="J64" s="19" t="s">
        <v>984</v>
      </c>
    </row>
    <row r="65" customFormat="false" ht="19.4" hidden="false" customHeight="false" outlineLevel="0" collapsed="false">
      <c r="H65" s="51" t="n">
        <v>60</v>
      </c>
      <c r="I65" s="52" t="n">
        <v>46288</v>
      </c>
      <c r="J65" s="19" t="s">
        <v>984</v>
      </c>
    </row>
    <row r="66" customFormat="false" ht="19.4" hidden="false" customHeight="false" outlineLevel="0" collapsed="false">
      <c r="H66" s="51" t="n">
        <v>61</v>
      </c>
      <c r="I66" s="52" t="n">
        <v>46289</v>
      </c>
      <c r="J66" s="19" t="s">
        <v>984</v>
      </c>
    </row>
    <row r="67" customFormat="false" ht="19.4" hidden="false" customHeight="false" outlineLevel="0" collapsed="false">
      <c r="H67" s="51" t="n">
        <v>62</v>
      </c>
      <c r="I67" s="52" t="n">
        <v>46289</v>
      </c>
      <c r="J67" s="19" t="s">
        <v>984</v>
      </c>
    </row>
    <row r="68" customFormat="false" ht="19.4" hidden="false" customHeight="false" outlineLevel="0" collapsed="false">
      <c r="H68" s="51" t="n">
        <v>63</v>
      </c>
      <c r="I68" s="52" t="n">
        <v>46290</v>
      </c>
      <c r="J68" s="19" t="s">
        <v>984</v>
      </c>
    </row>
    <row r="69" customFormat="false" ht="19.4" hidden="false" customHeight="false" outlineLevel="0" collapsed="false">
      <c r="H69" s="51" t="n">
        <v>64</v>
      </c>
      <c r="I69" s="52" t="n">
        <v>46290</v>
      </c>
      <c r="J69" s="19" t="s">
        <v>984</v>
      </c>
    </row>
    <row r="70" customFormat="false" ht="19.4" hidden="false" customHeight="false" outlineLevel="0" collapsed="false">
      <c r="H70" s="51" t="n">
        <v>65</v>
      </c>
      <c r="I70" s="52" t="n">
        <v>46293</v>
      </c>
      <c r="J70" s="19" t="s">
        <v>984</v>
      </c>
    </row>
    <row r="71" customFormat="false" ht="19.4" hidden="false" customHeight="false" outlineLevel="0" collapsed="false">
      <c r="H71" s="51" t="n">
        <v>66</v>
      </c>
      <c r="I71" s="52" t="n">
        <v>46293</v>
      </c>
      <c r="J71" s="19" t="s">
        <v>984</v>
      </c>
    </row>
    <row r="72" customFormat="false" ht="19.4" hidden="false" customHeight="false" outlineLevel="0" collapsed="false">
      <c r="H72" s="51" t="n">
        <v>67</v>
      </c>
      <c r="I72" s="52" t="n">
        <v>46296</v>
      </c>
      <c r="J72" s="19" t="s">
        <v>984</v>
      </c>
    </row>
    <row r="73" customFormat="false" ht="19.4" hidden="false" customHeight="false" outlineLevel="0" collapsed="false">
      <c r="H73" s="51" t="n">
        <v>68</v>
      </c>
      <c r="I73" s="52" t="n">
        <v>46296</v>
      </c>
      <c r="J73" s="19" t="s">
        <v>984</v>
      </c>
    </row>
    <row r="74" customFormat="false" ht="19.4" hidden="false" customHeight="false" outlineLevel="0" collapsed="false">
      <c r="H74" s="51" t="n">
        <v>69</v>
      </c>
      <c r="I74" s="52" t="n">
        <v>46297</v>
      </c>
      <c r="J74" s="19" t="s">
        <v>984</v>
      </c>
    </row>
    <row r="75" customFormat="false" ht="19.4" hidden="false" customHeight="false" outlineLevel="0" collapsed="false">
      <c r="H75" s="51" t="n">
        <v>70</v>
      </c>
      <c r="I75" s="52" t="n">
        <v>46297</v>
      </c>
      <c r="J75" s="19" t="s">
        <v>984</v>
      </c>
    </row>
    <row r="76" customFormat="false" ht="19.4" hidden="false" customHeight="false" outlineLevel="0" collapsed="false">
      <c r="H76" s="51" t="n">
        <v>71</v>
      </c>
      <c r="I76" s="52" t="n">
        <v>46300</v>
      </c>
      <c r="J76" s="19" t="s">
        <v>984</v>
      </c>
    </row>
    <row r="77" customFormat="false" ht="19.4" hidden="false" customHeight="false" outlineLevel="0" collapsed="false">
      <c r="H77" s="51" t="n">
        <v>72</v>
      </c>
      <c r="I77" s="52" t="n">
        <v>46300</v>
      </c>
      <c r="J77" s="19" t="s">
        <v>984</v>
      </c>
    </row>
    <row r="78" customFormat="false" ht="19.4" hidden="false" customHeight="false" outlineLevel="0" collapsed="false">
      <c r="H78" s="51" t="n">
        <v>73</v>
      </c>
      <c r="I78" s="52" t="n">
        <v>46301</v>
      </c>
      <c r="J78" s="19" t="s">
        <v>984</v>
      </c>
    </row>
    <row r="79" customFormat="false" ht="19.4" hidden="false" customHeight="false" outlineLevel="0" collapsed="false">
      <c r="H79" s="51" t="n">
        <v>74</v>
      </c>
      <c r="I79" s="52" t="n">
        <v>46301</v>
      </c>
      <c r="J79" s="19" t="s">
        <v>984</v>
      </c>
    </row>
    <row r="80" customFormat="false" ht="19.4" hidden="false" customHeight="false" outlineLevel="0" collapsed="false">
      <c r="H80" s="51" t="n">
        <v>75</v>
      </c>
      <c r="I80" s="52" t="n">
        <v>46302</v>
      </c>
      <c r="J80" s="19" t="s">
        <v>984</v>
      </c>
    </row>
    <row r="81" customFormat="false" ht="19.4" hidden="false" customHeight="false" outlineLevel="0" collapsed="false">
      <c r="H81" s="51" t="n">
        <v>76</v>
      </c>
      <c r="I81" s="52" t="n">
        <v>46302</v>
      </c>
      <c r="J81" s="19" t="s">
        <v>984</v>
      </c>
    </row>
    <row r="82" customFormat="false" ht="19.4" hidden="false" customHeight="false" outlineLevel="0" collapsed="false">
      <c r="H82" s="51" t="n">
        <v>77</v>
      </c>
      <c r="I82" s="52" t="n">
        <v>46303</v>
      </c>
      <c r="J82" s="19" t="s">
        <v>984</v>
      </c>
    </row>
    <row r="83" customFormat="false" ht="19.4" hidden="false" customHeight="false" outlineLevel="0" collapsed="false">
      <c r="H83" s="51" t="n">
        <v>78</v>
      </c>
      <c r="I83" s="52" t="n">
        <v>46303</v>
      </c>
      <c r="J83" s="19" t="s">
        <v>984</v>
      </c>
    </row>
    <row r="84" customFormat="false" ht="19.4" hidden="false" customHeight="false" outlineLevel="0" collapsed="false">
      <c r="H84" s="51" t="n">
        <v>79</v>
      </c>
      <c r="I84" s="52" t="n">
        <v>46304</v>
      </c>
      <c r="J84" s="19" t="s">
        <v>984</v>
      </c>
    </row>
    <row r="85" customFormat="false" ht="19.4" hidden="false" customHeight="false" outlineLevel="0" collapsed="false">
      <c r="H85" s="51" t="n">
        <v>80</v>
      </c>
      <c r="I85" s="52" t="n">
        <v>46304</v>
      </c>
      <c r="J85" s="19" t="s">
        <v>984</v>
      </c>
    </row>
    <row r="86" customFormat="false" ht="19.4" hidden="false" customHeight="false" outlineLevel="0" collapsed="false">
      <c r="H86" s="51" t="n">
        <v>81</v>
      </c>
      <c r="I86" s="52" t="n">
        <v>46308</v>
      </c>
      <c r="J86" s="19" t="s">
        <v>984</v>
      </c>
    </row>
    <row r="87" customFormat="false" ht="19.4" hidden="false" customHeight="false" outlineLevel="0" collapsed="false">
      <c r="H87" s="51" t="n">
        <v>82</v>
      </c>
      <c r="I87" s="52" t="n">
        <v>46308</v>
      </c>
      <c r="J87" s="19" t="s">
        <v>984</v>
      </c>
    </row>
    <row r="88" customFormat="false" ht="19.4" hidden="false" customHeight="false" outlineLevel="0" collapsed="false">
      <c r="H88" s="51" t="n">
        <v>83</v>
      </c>
      <c r="I88" s="52" t="n">
        <v>46309</v>
      </c>
      <c r="J88" s="19" t="s">
        <v>984</v>
      </c>
    </row>
    <row r="89" customFormat="false" ht="19.4" hidden="false" customHeight="false" outlineLevel="0" collapsed="false">
      <c r="H89" s="51" t="n">
        <v>84</v>
      </c>
      <c r="I89" s="52" t="n">
        <v>46309</v>
      </c>
      <c r="J89" s="19" t="s">
        <v>984</v>
      </c>
    </row>
    <row r="90" customFormat="false" ht="19.4" hidden="false" customHeight="false" outlineLevel="0" collapsed="false">
      <c r="H90" s="51" t="n">
        <v>85</v>
      </c>
      <c r="I90" s="52" t="n">
        <v>46310</v>
      </c>
      <c r="J90" s="19" t="s">
        <v>984</v>
      </c>
    </row>
    <row r="91" customFormat="false" ht="19.4" hidden="false" customHeight="false" outlineLevel="0" collapsed="false">
      <c r="H91" s="51" t="n">
        <v>86</v>
      </c>
      <c r="I91" s="52" t="n">
        <v>46310</v>
      </c>
      <c r="J91" s="19" t="s">
        <v>984</v>
      </c>
    </row>
    <row r="92" customFormat="false" ht="19.4" hidden="false" customHeight="false" outlineLevel="0" collapsed="false">
      <c r="H92" s="51" t="n">
        <v>87</v>
      </c>
      <c r="I92" s="52" t="n">
        <v>46311</v>
      </c>
      <c r="J92" s="19" t="s">
        <v>984</v>
      </c>
    </row>
    <row r="93" customFormat="false" ht="19.4" hidden="false" customHeight="false" outlineLevel="0" collapsed="false">
      <c r="H93" s="51" t="n">
        <v>88</v>
      </c>
      <c r="I93" s="52" t="n">
        <v>46311</v>
      </c>
      <c r="J93" s="19" t="s">
        <v>984</v>
      </c>
    </row>
    <row r="94" customFormat="false" ht="19.4" hidden="false" customHeight="false" outlineLevel="0" collapsed="false">
      <c r="H94" s="51" t="n">
        <v>89</v>
      </c>
      <c r="I94" s="52" t="n">
        <v>46314</v>
      </c>
      <c r="J94" s="19" t="s">
        <v>984</v>
      </c>
    </row>
    <row r="95" customFormat="false" ht="19.4" hidden="false" customHeight="false" outlineLevel="0" collapsed="false">
      <c r="H95" s="51" t="n">
        <v>90</v>
      </c>
      <c r="I95" s="52" t="n">
        <v>46314</v>
      </c>
      <c r="J95" s="19" t="s">
        <v>984</v>
      </c>
    </row>
    <row r="96" customFormat="false" ht="19.4" hidden="false" customHeight="false" outlineLevel="0" collapsed="false">
      <c r="H96" s="51" t="n">
        <v>91</v>
      </c>
      <c r="I96" s="52" t="n">
        <v>46315</v>
      </c>
      <c r="J96" s="19" t="s">
        <v>984</v>
      </c>
    </row>
    <row r="97" customFormat="false" ht="19.4" hidden="false" customHeight="false" outlineLevel="0" collapsed="false">
      <c r="H97" s="51" t="n">
        <v>92</v>
      </c>
      <c r="I97" s="52" t="n">
        <v>46315</v>
      </c>
      <c r="J97" s="19" t="s">
        <v>984</v>
      </c>
    </row>
    <row r="98" customFormat="false" ht="19.4" hidden="false" customHeight="false" outlineLevel="0" collapsed="false">
      <c r="H98" s="51" t="n">
        <v>93</v>
      </c>
      <c r="I98" s="52" t="n">
        <v>46316</v>
      </c>
      <c r="J98" s="19" t="s">
        <v>984</v>
      </c>
    </row>
    <row r="99" customFormat="false" ht="19.4" hidden="false" customHeight="false" outlineLevel="0" collapsed="false">
      <c r="H99" s="51" t="n">
        <v>94</v>
      </c>
      <c r="I99" s="52" t="n">
        <v>46316</v>
      </c>
      <c r="J99" s="19" t="s">
        <v>984</v>
      </c>
    </row>
    <row r="100" customFormat="false" ht="19.4" hidden="false" customHeight="false" outlineLevel="0" collapsed="false">
      <c r="H100" s="51" t="n">
        <v>95</v>
      </c>
      <c r="I100" s="52" t="n">
        <v>46317</v>
      </c>
      <c r="J100" s="19" t="s">
        <v>984</v>
      </c>
    </row>
    <row r="101" customFormat="false" ht="19.4" hidden="false" customHeight="false" outlineLevel="0" collapsed="false">
      <c r="H101" s="51" t="n">
        <v>96</v>
      </c>
      <c r="I101" s="52" t="n">
        <v>46317</v>
      </c>
      <c r="J101" s="19" t="s">
        <v>984</v>
      </c>
    </row>
    <row r="102" customFormat="false" ht="19.4" hidden="false" customHeight="false" outlineLevel="0" collapsed="false">
      <c r="H102" s="51" t="n">
        <v>97</v>
      </c>
      <c r="I102" s="52" t="n">
        <v>46318</v>
      </c>
      <c r="J102" s="19" t="s">
        <v>984</v>
      </c>
    </row>
    <row r="103" customFormat="false" ht="19.4" hidden="false" customHeight="false" outlineLevel="0" collapsed="false">
      <c r="H103" s="51" t="n">
        <v>98</v>
      </c>
      <c r="I103" s="52" t="n">
        <v>46318</v>
      </c>
      <c r="J103" s="19" t="s">
        <v>984</v>
      </c>
    </row>
    <row r="104" customFormat="false" ht="19.4" hidden="false" customHeight="false" outlineLevel="0" collapsed="false">
      <c r="H104" s="51" t="n">
        <v>99</v>
      </c>
      <c r="I104" s="52" t="n">
        <v>46321</v>
      </c>
      <c r="J104" s="19" t="s">
        <v>984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4" min="4" style="0" width="38"/>
    <col collapsed="false" customWidth="true" hidden="false" outlineLevel="0" max="5" min="5" style="0" width="34"/>
  </cols>
  <sheetData>
    <row r="1" customFormat="false" ht="17.35" hidden="false" customHeight="false" outlineLevel="0" collapsed="false">
      <c r="A1" s="1" t="s">
        <v>1068</v>
      </c>
      <c r="B1" s="1"/>
      <c r="C1" s="1"/>
      <c r="D1" s="1"/>
      <c r="E1" s="1"/>
    </row>
    <row r="2" customFormat="false" ht="24" hidden="false" customHeight="true" outlineLevel="0" collapsed="false">
      <c r="A2" s="15" t="s">
        <v>1069</v>
      </c>
      <c r="B2" s="15"/>
      <c r="C2" s="15"/>
      <c r="D2" s="15"/>
      <c r="E2" s="19" t="str">
        <f aca="false">HYPERLINK("#'01_INICIO'!A1","← Volver a 01_INICIO")</f>
        <v>← Volver a 01_INICIO</v>
      </c>
    </row>
    <row r="4" customFormat="false" ht="15" hidden="false" customHeight="false" outlineLevel="0" collapsed="false">
      <c r="A4" s="2" t="s">
        <v>1070</v>
      </c>
      <c r="B4" s="2" t="s">
        <v>1071</v>
      </c>
      <c r="C4" s="2" t="s">
        <v>1072</v>
      </c>
      <c r="D4" s="2" t="s">
        <v>1073</v>
      </c>
      <c r="E4" s="2" t="s">
        <v>1074</v>
      </c>
    </row>
    <row r="5" customFormat="false" ht="39.75" hidden="false" customHeight="true" outlineLevel="0" collapsed="false">
      <c r="A5" s="54" t="s">
        <v>1075</v>
      </c>
      <c r="B5" s="19" t="s">
        <v>1076</v>
      </c>
      <c r="C5" s="19" t="s">
        <v>1077</v>
      </c>
      <c r="D5" s="29" t="s">
        <v>1078</v>
      </c>
      <c r="E5" s="19" t="s">
        <v>1079</v>
      </c>
    </row>
    <row r="6" customFormat="false" ht="39.75" hidden="false" customHeight="true" outlineLevel="0" collapsed="false">
      <c r="A6" s="55" t="s">
        <v>1080</v>
      </c>
      <c r="B6" s="56" t="s">
        <v>1081</v>
      </c>
      <c r="C6" s="56" t="s">
        <v>1082</v>
      </c>
      <c r="D6" s="57" t="s">
        <v>1083</v>
      </c>
      <c r="E6" s="56" t="s">
        <v>1084</v>
      </c>
    </row>
    <row r="7" customFormat="false" ht="39.75" hidden="false" customHeight="true" outlineLevel="0" collapsed="false">
      <c r="A7" s="54" t="s">
        <v>1085</v>
      </c>
      <c r="B7" s="19" t="s">
        <v>1086</v>
      </c>
      <c r="C7" s="19" t="s">
        <v>1087</v>
      </c>
      <c r="D7" s="29" t="s">
        <v>1088</v>
      </c>
      <c r="E7" s="19" t="s">
        <v>1089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8"/>
    <col collapsed="false" customWidth="true" hidden="false" outlineLevel="0" max="3" min="3" style="0" width="56"/>
  </cols>
  <sheetData>
    <row r="1" customFormat="false" ht="17.35" hidden="false" customHeight="false" outlineLevel="0" collapsed="false">
      <c r="A1" s="1" t="s">
        <v>1090</v>
      </c>
      <c r="B1" s="1"/>
      <c r="C1" s="1"/>
    </row>
    <row r="2" customFormat="false" ht="15" hidden="false" customHeight="false" outlineLevel="0" collapsed="false">
      <c r="C2" s="19" t="str">
        <f aca="false">HYPERLINK("#'01_INICIO'!A1","← Volver a 01_INICIO")</f>
        <v>← Volver a 01_INICIO</v>
      </c>
    </row>
    <row r="3" customFormat="false" ht="15" hidden="false" customHeight="false" outlineLevel="0" collapsed="false">
      <c r="A3" s="2" t="s">
        <v>1091</v>
      </c>
      <c r="B3" s="2" t="s">
        <v>559</v>
      </c>
      <c r="C3" s="2" t="s">
        <v>1092</v>
      </c>
    </row>
    <row r="4" customFormat="false" ht="36" hidden="false" customHeight="true" outlineLevel="0" collapsed="false">
      <c r="A4" s="54" t="s">
        <v>1093</v>
      </c>
      <c r="B4" s="29" t="s">
        <v>1094</v>
      </c>
      <c r="C4" s="19" t="s">
        <v>1095</v>
      </c>
    </row>
    <row r="5" customFormat="false" ht="24" hidden="false" customHeight="true" outlineLevel="0" collapsed="false">
      <c r="A5" s="55" t="s">
        <v>1096</v>
      </c>
      <c r="B5" s="57" t="s">
        <v>1097</v>
      </c>
      <c r="C5" s="56" t="s">
        <v>1098</v>
      </c>
    </row>
    <row r="6" customFormat="false" ht="24" hidden="false" customHeight="true" outlineLevel="0" collapsed="false">
      <c r="A6" s="54" t="s">
        <v>1099</v>
      </c>
      <c r="B6" s="29" t="s">
        <v>1100</v>
      </c>
      <c r="C6" s="19" t="s">
        <v>1101</v>
      </c>
    </row>
    <row r="7" customFormat="false" ht="24" hidden="false" customHeight="true" outlineLevel="0" collapsed="false">
      <c r="A7" s="55" t="s">
        <v>99</v>
      </c>
      <c r="B7" s="57" t="s">
        <v>1102</v>
      </c>
      <c r="C7" s="56" t="s">
        <v>1103</v>
      </c>
    </row>
    <row r="8" customFormat="false" ht="24" hidden="false" customHeight="true" outlineLevel="0" collapsed="false">
      <c r="A8" s="54" t="s">
        <v>1104</v>
      </c>
      <c r="B8" s="29" t="s">
        <v>1105</v>
      </c>
      <c r="C8" s="19" t="s">
        <v>1106</v>
      </c>
    </row>
    <row r="9" customFormat="false" ht="24" hidden="false" customHeight="true" outlineLevel="0" collapsed="false">
      <c r="A9" s="55" t="s">
        <v>149</v>
      </c>
      <c r="B9" s="57" t="s">
        <v>1107</v>
      </c>
      <c r="C9" s="56" t="s">
        <v>1108</v>
      </c>
    </row>
    <row r="10" customFormat="false" ht="24" hidden="false" customHeight="true" outlineLevel="0" collapsed="false">
      <c r="A10" s="54" t="s">
        <v>1109</v>
      </c>
      <c r="B10" s="29" t="s">
        <v>1110</v>
      </c>
      <c r="C10" s="19" t="s">
        <v>1111</v>
      </c>
    </row>
    <row r="11" customFormat="false" ht="36" hidden="false" customHeight="true" outlineLevel="0" collapsed="false">
      <c r="A11" s="55" t="s">
        <v>1112</v>
      </c>
      <c r="B11" s="57" t="s">
        <v>1113</v>
      </c>
      <c r="C11" s="56" t="s">
        <v>1114</v>
      </c>
    </row>
    <row r="12" customFormat="false" ht="24" hidden="false" customHeight="true" outlineLevel="0" collapsed="false">
      <c r="A12" s="54" t="s">
        <v>1115</v>
      </c>
      <c r="B12" s="29" t="s">
        <v>1116</v>
      </c>
      <c r="C12" s="19" t="s">
        <v>1117</v>
      </c>
    </row>
    <row r="13" customFormat="false" ht="24" hidden="false" customHeight="true" outlineLevel="0" collapsed="false">
      <c r="A13" s="55" t="s">
        <v>1118</v>
      </c>
      <c r="B13" s="57" t="s">
        <v>1119</v>
      </c>
      <c r="C13" s="56" t="s">
        <v>1120</v>
      </c>
    </row>
    <row r="14" customFormat="false" ht="24" hidden="false" customHeight="true" outlineLevel="0" collapsed="false">
      <c r="A14" s="54" t="s">
        <v>1121</v>
      </c>
      <c r="B14" s="29" t="s">
        <v>1122</v>
      </c>
      <c r="C14" s="19" t="s">
        <v>1123</v>
      </c>
    </row>
    <row r="15" customFormat="false" ht="24" hidden="false" customHeight="true" outlineLevel="0" collapsed="false">
      <c r="A15" s="55" t="s">
        <v>1124</v>
      </c>
      <c r="B15" s="57" t="s">
        <v>1125</v>
      </c>
      <c r="C15" s="56" t="s">
        <v>1126</v>
      </c>
    </row>
    <row r="16" customFormat="false" ht="24" hidden="false" customHeight="true" outlineLevel="0" collapsed="false">
      <c r="A16" s="54" t="s">
        <v>1127</v>
      </c>
      <c r="B16" s="29" t="s">
        <v>1128</v>
      </c>
      <c r="C16" s="19" t="s">
        <v>1129</v>
      </c>
    </row>
    <row r="17" customFormat="false" ht="24" hidden="false" customHeight="true" outlineLevel="0" collapsed="false">
      <c r="A17" s="55" t="s">
        <v>1130</v>
      </c>
      <c r="B17" s="57" t="s">
        <v>1131</v>
      </c>
      <c r="C17" s="56" t="s">
        <v>1132</v>
      </c>
    </row>
    <row r="18" customFormat="false" ht="24" hidden="false" customHeight="true" outlineLevel="0" collapsed="false">
      <c r="A18" s="54" t="s">
        <v>1133</v>
      </c>
      <c r="B18" s="29" t="s">
        <v>1134</v>
      </c>
      <c r="C18" s="19" t="s">
        <v>1135</v>
      </c>
    </row>
    <row r="19" customFormat="false" ht="24" hidden="false" customHeight="true" outlineLevel="0" collapsed="false">
      <c r="A19" s="55" t="s">
        <v>1136</v>
      </c>
      <c r="B19" s="57" t="s">
        <v>1137</v>
      </c>
      <c r="C19" s="56" t="s">
        <v>1138</v>
      </c>
    </row>
    <row r="20" customFormat="false" ht="24" hidden="false" customHeight="true" outlineLevel="0" collapsed="false">
      <c r="A20" s="54" t="s">
        <v>1139</v>
      </c>
      <c r="B20" s="29" t="s">
        <v>1140</v>
      </c>
      <c r="C20" s="19" t="s">
        <v>1141</v>
      </c>
    </row>
    <row r="21" customFormat="false" ht="24" hidden="false" customHeight="true" outlineLevel="0" collapsed="false">
      <c r="A21" s="55" t="s">
        <v>1142</v>
      </c>
      <c r="B21" s="57" t="s">
        <v>1143</v>
      </c>
      <c r="C21" s="56" t="s">
        <v>1144</v>
      </c>
    </row>
    <row r="22" customFormat="false" ht="24" hidden="false" customHeight="true" outlineLevel="0" collapsed="false">
      <c r="A22" s="54" t="s">
        <v>1145</v>
      </c>
      <c r="B22" s="29" t="s">
        <v>1146</v>
      </c>
      <c r="C22" s="19" t="s">
        <v>1147</v>
      </c>
    </row>
    <row r="23" customFormat="false" ht="24" hidden="false" customHeight="true" outlineLevel="0" collapsed="false">
      <c r="A23" s="55" t="s">
        <v>1148</v>
      </c>
      <c r="B23" s="57" t="s">
        <v>1149</v>
      </c>
      <c r="C23" s="56" t="s">
        <v>1150</v>
      </c>
    </row>
    <row r="24" customFormat="false" ht="24" hidden="false" customHeight="true" outlineLevel="0" collapsed="false">
      <c r="A24" s="54" t="s">
        <v>1151</v>
      </c>
      <c r="B24" s="29" t="s">
        <v>1152</v>
      </c>
      <c r="C24" s="19" t="s">
        <v>1153</v>
      </c>
    </row>
    <row r="25" customFormat="false" ht="24" hidden="false" customHeight="true" outlineLevel="0" collapsed="false">
      <c r="A25" s="55" t="s">
        <v>1154</v>
      </c>
      <c r="B25" s="57" t="s">
        <v>1155</v>
      </c>
      <c r="C25" s="56" t="s">
        <v>1156</v>
      </c>
    </row>
    <row r="26" customFormat="false" ht="24" hidden="false" customHeight="true" outlineLevel="0" collapsed="false">
      <c r="A26" s="54" t="s">
        <v>1157</v>
      </c>
      <c r="B26" s="29" t="s">
        <v>1158</v>
      </c>
      <c r="C26" s="19" t="s">
        <v>1159</v>
      </c>
    </row>
    <row r="27" customFormat="false" ht="24" hidden="false" customHeight="true" outlineLevel="0" collapsed="false">
      <c r="A27" s="55" t="s">
        <v>1160</v>
      </c>
      <c r="B27" s="57" t="s">
        <v>1161</v>
      </c>
      <c r="C27" s="56" t="s">
        <v>1162</v>
      </c>
    </row>
    <row r="28" customFormat="false" ht="24" hidden="false" customHeight="true" outlineLevel="0" collapsed="false">
      <c r="A28" s="54" t="s">
        <v>1163</v>
      </c>
      <c r="B28" s="29" t="s">
        <v>1164</v>
      </c>
      <c r="C28" s="19" t="s">
        <v>1165</v>
      </c>
    </row>
    <row r="29" customFormat="false" ht="36" hidden="false" customHeight="true" outlineLevel="0" collapsed="false">
      <c r="A29" s="55" t="s">
        <v>354</v>
      </c>
      <c r="B29" s="57" t="s">
        <v>1166</v>
      </c>
      <c r="C29" s="56" t="s">
        <v>1167</v>
      </c>
    </row>
    <row r="30" customFormat="false" ht="36" hidden="false" customHeight="true" outlineLevel="0" collapsed="false">
      <c r="A30" s="54" t="s">
        <v>1168</v>
      </c>
      <c r="B30" s="29" t="s">
        <v>1169</v>
      </c>
      <c r="C30" s="19" t="s">
        <v>1170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2026-09-07T13:13:07Z</dcterms:created>
  <dc:creator>openpyxl</dc:creator>
  <dc:description/>
  <dc:language>en-US</dc:language>
  <cp:lastModifiedBy/>
  <dcterms:modified xsi:type="dcterms:W3CDTF">2026-09-07T13:13:08Z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